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Briefing &amp; Report" sheetId="1" state="visible" r:id="rId1"/>
    <sheet xmlns:r="http://schemas.openxmlformats.org/officeDocument/2006/relationships" name="Executive Anomaly Dashboard" sheetId="2" state="visible" r:id="rId2"/>
    <sheet xmlns:r="http://schemas.openxmlformats.org/officeDocument/2006/relationships" name="Stats &amp; 3-Sigma Control Bounds" sheetId="3" state="visible" r:id="rId3"/>
    <sheet xmlns:r="http://schemas.openxmlformats.org/officeDocument/2006/relationships" name="Master Cleaned Data Pipeline" sheetId="4" state="visible" r:id="rId4"/>
    <sheet xmlns:r="http://schemas.openxmlformats.org/officeDocument/2006/relationships" name="Raw Enterprise Billing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1B365D"/>
      <sz val="11"/>
    </font>
    <font>
      <name val="Calibri"/>
      <b val="1"/>
      <color rgb="00991B1B"/>
      <sz val="11"/>
    </font>
    <font>
      <name val="Calibri"/>
      <b val="1"/>
      <color rgb="001B365D"/>
      <sz val="18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34E68"/>
        <bgColor rgb="00334E68"/>
      </patternFill>
    </fill>
    <fill>
      <patternFill patternType="solid">
        <fgColor rgb="00FEE2E2"/>
        <bgColor rgb="00FEE2E2"/>
      </patternFill>
    </fill>
    <fill>
      <patternFill patternType="solid">
        <fgColor rgb="002B4C7E"/>
        <bgColor rgb="002B4C7E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B365D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center"/>
    </xf>
    <xf numFmtId="0" fontId="0" fillId="0" borderId="2" pivotButton="0" quotePrefix="0" xfId="0"/>
    <xf numFmtId="164" fontId="7" fillId="6" borderId="2" applyAlignment="1" pivotButton="0" quotePrefix="0" xfId="0">
      <alignment horizontal="center" vertical="center"/>
    </xf>
    <xf numFmtId="3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4" fillId="0" borderId="2" pivotButton="0" quotePrefix="0" xfId="0"/>
    <xf numFmtId="164" fontId="4" fillId="0" borderId="2" applyAlignment="1" pivotButton="0" quotePrefix="0" xfId="0">
      <alignment horizontal="right"/>
    </xf>
    <xf numFmtId="2" fontId="4" fillId="0" borderId="2" applyAlignment="1" pivotButton="0" quotePrefix="0" xfId="0">
      <alignment horizontal="right"/>
    </xf>
    <xf numFmtId="0" fontId="3" fillId="3" borderId="1" pivotButton="0" quotePrefix="0" xfId="0"/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2" fillId="0" borderId="2" pivotButton="0" quotePrefix="0" xfId="0"/>
    <xf numFmtId="4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0" fontId="6" fillId="4" borderId="2" pivotButton="0" quotePrefix="0" xfId="0"/>
    <xf numFmtId="164" fontId="6" fillId="4" borderId="2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EXECUTIVE BRIEFING &amp; INCIDENT POST-MORTEM REPORT</t>
        </is>
      </c>
    </row>
    <row r="2">
      <c r="A2" s="2" t="inlineStr">
        <is>
          <t>Prepared for: CTO, VP of Infrastructure, and Head of Financial Operations (FinOps)</t>
        </is>
      </c>
    </row>
    <row r="3"/>
    <row r="4">
      <c r="A4" s="3" t="inlineStr">
        <is>
          <t>1. EXECUTIVE SUMMARY &amp; KEY FINDINGS</t>
        </is>
      </c>
      <c r="B4" s="4" t="n"/>
      <c r="C4" s="4" t="n"/>
      <c r="D4" s="4" t="n"/>
      <c r="E4" s="4" t="n"/>
      <c r="F4" s="4" t="n"/>
      <c r="G4" s="4" t="n"/>
    </row>
    <row r="5" ht="28" customHeight="1">
      <c r="A5" s="5" t="inlineStr">
        <is>
          <t>During the September 2026 billing cycle audit across enterprise cloud infrastructure, the automated Statistical Anomaly Engine identified 5 critical 3-Sigma cost spikes totaling $313,900.00 in unbudgeted spend.</t>
        </is>
      </c>
    </row>
    <row r="6" ht="28" customHeight="1">
      <c r="A6" s="5" t="inlineStr">
        <is>
          <t>While routine operational spend maintained a stable median of $4,200.00 per line item, runaway compute scaling and unindexed queries pushed the overall arithmetic mean to $6,136.67, causing a severe positive skewness ratio of 1.46x.</t>
        </is>
      </c>
    </row>
    <row r="7" ht="28" customHeight="1">
      <c r="A7" s="5" t="inlineStr">
        <is>
          <t>All 5 anomalies exceeded the statistical Upper Control Limit (+3σ threshold of $34,535.54) with individual Z-scores ranging from +4.34σ to +8.05σ above baseline.</t>
        </is>
      </c>
    </row>
    <row r="8"/>
    <row r="9">
      <c r="A9" s="3" t="inlineStr">
        <is>
          <t>2. ANOMALY INCIDENT BREAKDOWN &amp; ROOT CAUSE ANALYSIS</t>
        </is>
      </c>
      <c r="B9" s="4" t="n"/>
      <c r="C9" s="4" t="n"/>
      <c r="D9" s="4" t="n"/>
      <c r="E9" s="4" t="n"/>
      <c r="F9" s="4" t="n"/>
      <c r="G9" s="4" t="n"/>
    </row>
    <row r="10" ht="36" customHeight="1">
      <c r="A10" s="5" t="inlineStr">
        <is>
          <t>• Incident #1 (BigQuery Slot Spike - $68,500.00 | Z-Score: +6.59σ): An unoptimized analytical query loop in Enterprise SaaS executed unindexed full-table scans over 450TB of raw log tables.</t>
        </is>
      </c>
    </row>
    <row r="11" ht="36" customHeight="1">
      <c r="A11" s="5" t="inlineStr">
        <is>
          <t>• Incident #2 (Compute Engine GPU Spike - $82,400.00 | Z-Score: +8.05σ): E-Commerce Engine autoscaling group failed to trigger scale-in policies during off-peak weekend hours.</t>
        </is>
      </c>
    </row>
    <row r="12" ht="36" customHeight="1">
      <c r="A12" s="5" t="inlineStr">
        <is>
          <t>• Incident #3 (GKE Data Egress Loop - $54,200.00 | Z-Score: +5.08σ): Misconfigured Kubernetes service mesh in Global Logistics routed inter-pod traffic across public internet gateways.</t>
        </is>
      </c>
    </row>
    <row r="13" ht="36" customHeight="1">
      <c r="A13" s="5" t="inlineStr">
        <is>
          <t>• Incident #4 (Cloud SQL Replication Surge - $47,800.00 | Z-Score: +4.40σ): Hardware &amp; IoT triggered unexpected cross-region read-replica syncs following a regional failover test.</t>
        </is>
      </c>
    </row>
    <row r="14" ht="36" customHeight="1">
      <c r="A14" s="5" t="inlineStr">
        <is>
          <t>• Incident #5 (BigQuery Full Table Scan - $61,000.00 | Z-Score: +5.79σ): Pro Services executed unthrottled ad-hoc queries against unpartitioned billing export partitions.</t>
        </is>
      </c>
    </row>
    <row r="15"/>
    <row r="16">
      <c r="A16" s="3" t="inlineStr">
        <is>
          <t>3. RECOMMENDED FINOPS REMEDIATION &amp; GOVERNANCE ACTIONS</t>
        </is>
      </c>
      <c r="B16" s="4" t="n"/>
      <c r="C16" s="4" t="n"/>
      <c r="D16" s="4" t="n"/>
      <c r="E16" s="4" t="n"/>
      <c r="F16" s="4" t="n"/>
      <c r="G16" s="4" t="n"/>
    </row>
    <row r="17" ht="28" customHeight="1">
      <c r="A17" s="5" t="inlineStr">
        <is>
          <t>1. Implement BigQuery Quotas: Enforce hard daily slot usage caps ($5,000/day limit per user group) to prevent unindexed query loops.</t>
        </is>
      </c>
    </row>
    <row r="18" ht="28" customHeight="1">
      <c r="A18" s="5" t="inlineStr">
        <is>
          <t>2. Fix Autoscaling Guardrails: Update Compute Engine instance group health checks to enforce maximum instance caps during non-business hours.</t>
        </is>
      </c>
    </row>
    <row r="19" ht="28" customHeight="1">
      <c r="A19" s="5" t="inlineStr">
        <is>
          <t>3. Automated 3-Sigma Webhooks: Integrate the 3-Sigma Anomaly Engine directly with Slack/PagerDuty to notify lead engineers within 15 minutes of an upper control bound breach.</t>
        </is>
      </c>
    </row>
    <row r="20" ht="28" customHeight="1">
      <c r="A20" s="5" t="inlineStr">
        <is>
          <t>4. Commitment Discount Optimization: Allocate $3,500.00 in unblended promotional credits directly against Enterprise SaaS compute costs.</t>
        </is>
      </c>
    </row>
  </sheetData>
  <mergeCells count="15">
    <mergeCell ref="A13:G13"/>
    <mergeCell ref="A14:G14"/>
    <mergeCell ref="A17:G17"/>
    <mergeCell ref="A9:G9"/>
    <mergeCell ref="A18:G18"/>
    <mergeCell ref="A6:G6"/>
    <mergeCell ref="A12:G12"/>
    <mergeCell ref="A4:G4"/>
    <mergeCell ref="A20:G20"/>
    <mergeCell ref="A16:G16"/>
    <mergeCell ref="A7:G7"/>
    <mergeCell ref="A19:G19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8" customWidth="1" min="4" max="4"/>
    <col width="20" customWidth="1" min="5" max="5"/>
    <col width="24" customWidth="1" min="6" max="6"/>
    <col width="18" customWidth="1" min="7" max="7"/>
    <col width="38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ENTERPRISE GCP COST ANOMALY COMMAND CENTER</t>
        </is>
      </c>
    </row>
    <row r="2">
      <c r="A2" s="2" t="inlineStr">
        <is>
          <t>Real-time cost spike monitoring, multi-dimensional business unit breakdown, and row-by-row audit log.</t>
        </is>
      </c>
    </row>
    <row r="3"/>
    <row r="4">
      <c r="A4" s="6" t="inlineStr">
        <is>
          <t>TOTAL GROSS SPEND</t>
        </is>
      </c>
      <c r="B4" s="7" t="n"/>
      <c r="D4" s="6" t="inlineStr">
        <is>
          <t>ACTIVE 3-SIGMA ANOMALIES</t>
        </is>
      </c>
      <c r="E4" s="7" t="n"/>
      <c r="G4" s="6" t="inlineStr">
        <is>
          <t>TOTAL UNBLENDED CREDITS</t>
        </is>
      </c>
      <c r="H4" s="7" t="n"/>
      <c r="J4" s="6" t="inlineStr">
        <is>
          <t>SKEWNESS RATIO (MEAN/MEDIAN)</t>
        </is>
      </c>
      <c r="K4" s="7" t="n"/>
    </row>
    <row r="5">
      <c r="A5" s="8">
        <f>SUM('Master Cleaned Data Pipeline'!G5:G499)</f>
        <v/>
      </c>
      <c r="B5" s="7" t="n"/>
      <c r="D5" s="9">
        <f>COUNTIF(F10:F504, "🚨 ANOMALY SPIKE")</f>
        <v/>
      </c>
      <c r="E5" s="7" t="n"/>
      <c r="G5" s="8">
        <f>SUMIF('Master Cleaned Data Pipeline'!J5:J499, "CREDIT / ADJUSTMENT", 'Master Cleaned Data Pipeline'!G5:G499)</f>
        <v/>
      </c>
      <c r="H5" s="7" t="n"/>
      <c r="J5" s="10">
        <f>'Stats &amp; 3-Sigma Control Bounds'!C6 / 'Stats &amp; 3-Sigma Control Bounds'!C7</f>
        <v/>
      </c>
      <c r="K5" s="7" t="n"/>
    </row>
    <row r="6">
      <c r="A6" s="7" t="n"/>
      <c r="B6" s="7" t="n"/>
      <c r="D6" s="7" t="n"/>
      <c r="E6" s="7" t="n"/>
      <c r="G6" s="7" t="n"/>
      <c r="H6" s="7" t="n"/>
      <c r="J6" s="7" t="n"/>
      <c r="K6" s="7" t="n"/>
    </row>
    <row r="7"/>
    <row r="8">
      <c r="A8" s="11" t="inlineStr">
        <is>
          <t>ROW-BY-ROW AUTOMATED COST ANOMALY AUDIT LOG</t>
        </is>
      </c>
    </row>
    <row r="9">
      <c r="A9" s="12" t="inlineStr">
        <is>
          <t>TXN ID</t>
        </is>
      </c>
      <c r="B9" s="12" t="inlineStr">
        <is>
          <t>Date</t>
        </is>
      </c>
      <c r="C9" s="12" t="inlineStr">
        <is>
          <t>Cleaned Business Unit</t>
        </is>
      </c>
      <c r="D9" s="12" t="inlineStr">
        <is>
          <t>GCP Service</t>
        </is>
      </c>
      <c r="E9" s="12" t="inlineStr">
        <is>
          <t>Line Item Spend ($)</t>
        </is>
      </c>
      <c r="F9" s="12" t="inlineStr">
        <is>
          <t>3-Sigma Anomaly Status</t>
        </is>
      </c>
      <c r="G9" s="12" t="inlineStr">
        <is>
          <t>Z-Score Distance</t>
        </is>
      </c>
      <c r="H9" s="12" t="inlineStr">
        <is>
          <t>FinOps Audit Recommendation</t>
        </is>
      </c>
    </row>
    <row r="10">
      <c r="A10" s="13">
        <f>'Master Cleaned Data Pipeline'!A5</f>
        <v/>
      </c>
      <c r="B10" s="13">
        <f>'Master Cleaned Data Pipeline'!B5</f>
        <v/>
      </c>
      <c r="C10" s="14">
        <f>'Master Cleaned Data Pipeline'!I5</f>
        <v/>
      </c>
      <c r="D10" s="14">
        <f>'Master Cleaned Data Pipeline'!F5</f>
        <v/>
      </c>
      <c r="E10" s="15">
        <f>'Master Cleaned Data Pipeline'!G5</f>
        <v/>
      </c>
      <c r="F10" s="13">
        <f>IF(E10&gt;'Stats &amp; 3-Sigma Control Bounds'!$C$21, "🚨 ANOMALY SPIKE", IF(E10&lt;0, "💳 CREDIT", "NORMAL"))</f>
        <v/>
      </c>
      <c r="G10" s="16">
        <f>(E10-'Stats &amp; 3-Sigma Control Bounds'!$C$6)/'Stats &amp; 3-Sigma Control Bounds'!$C$9</f>
        <v/>
      </c>
      <c r="H10" s="14">
        <f>IF(F10="🚨 ANOMALY SPIKE", "IMMEDIATE ESCALATION TO ENGINEERING", IF(F10="💳 CREDIT", "AUDIT CREDIT ALLOCATION", "APPROVED USAGE"))</f>
        <v/>
      </c>
    </row>
    <row r="11">
      <c r="A11" s="13">
        <f>'Master Cleaned Data Pipeline'!A6</f>
        <v/>
      </c>
      <c r="B11" s="13">
        <f>'Master Cleaned Data Pipeline'!B6</f>
        <v/>
      </c>
      <c r="C11" s="14">
        <f>'Master Cleaned Data Pipeline'!I6</f>
        <v/>
      </c>
      <c r="D11" s="14">
        <f>'Master Cleaned Data Pipeline'!F6</f>
        <v/>
      </c>
      <c r="E11" s="15">
        <f>'Master Cleaned Data Pipeline'!G6</f>
        <v/>
      </c>
      <c r="F11" s="13">
        <f>IF(E11&gt;'Stats &amp; 3-Sigma Control Bounds'!$C$21, "🚨 ANOMALY SPIKE", IF(E11&lt;0, "💳 CREDIT", "NORMAL"))</f>
        <v/>
      </c>
      <c r="G11" s="16">
        <f>(E11-'Stats &amp; 3-Sigma Control Bounds'!$C$6)/'Stats &amp; 3-Sigma Control Bounds'!$C$9</f>
        <v/>
      </c>
      <c r="H11" s="14">
        <f>IF(F11="🚨 ANOMALY SPIKE", "IMMEDIATE ESCALATION TO ENGINEERING", IF(F11="💳 CREDIT", "AUDIT CREDIT ALLOCATION", "APPROVED USAGE"))</f>
        <v/>
      </c>
    </row>
    <row r="12">
      <c r="A12" s="13">
        <f>'Master Cleaned Data Pipeline'!A7</f>
        <v/>
      </c>
      <c r="B12" s="13">
        <f>'Master Cleaned Data Pipeline'!B7</f>
        <v/>
      </c>
      <c r="C12" s="14">
        <f>'Master Cleaned Data Pipeline'!I7</f>
        <v/>
      </c>
      <c r="D12" s="14">
        <f>'Master Cleaned Data Pipeline'!F7</f>
        <v/>
      </c>
      <c r="E12" s="15">
        <f>'Master Cleaned Data Pipeline'!G7</f>
        <v/>
      </c>
      <c r="F12" s="13">
        <f>IF(E12&gt;'Stats &amp; 3-Sigma Control Bounds'!$C$21, "🚨 ANOMALY SPIKE", IF(E12&lt;0, "💳 CREDIT", "NORMAL"))</f>
        <v/>
      </c>
      <c r="G12" s="16">
        <f>(E12-'Stats &amp; 3-Sigma Control Bounds'!$C$6)/'Stats &amp; 3-Sigma Control Bounds'!$C$9</f>
        <v/>
      </c>
      <c r="H12" s="14">
        <f>IF(F12="🚨 ANOMALY SPIKE", "IMMEDIATE ESCALATION TO ENGINEERING", IF(F12="💳 CREDIT", "AUDIT CREDIT ALLOCATION", "APPROVED USAGE"))</f>
        <v/>
      </c>
    </row>
    <row r="13">
      <c r="A13" s="13">
        <f>'Master Cleaned Data Pipeline'!A8</f>
        <v/>
      </c>
      <c r="B13" s="13">
        <f>'Master Cleaned Data Pipeline'!B8</f>
        <v/>
      </c>
      <c r="C13" s="14">
        <f>'Master Cleaned Data Pipeline'!I8</f>
        <v/>
      </c>
      <c r="D13" s="14">
        <f>'Master Cleaned Data Pipeline'!F8</f>
        <v/>
      </c>
      <c r="E13" s="15">
        <f>'Master Cleaned Data Pipeline'!G8</f>
        <v/>
      </c>
      <c r="F13" s="13">
        <f>IF(E13&gt;'Stats &amp; 3-Sigma Control Bounds'!$C$21, "🚨 ANOMALY SPIKE", IF(E13&lt;0, "💳 CREDIT", "NORMAL"))</f>
        <v/>
      </c>
      <c r="G13" s="16">
        <f>(E13-'Stats &amp; 3-Sigma Control Bounds'!$C$6)/'Stats &amp; 3-Sigma Control Bounds'!$C$9</f>
        <v/>
      </c>
      <c r="H13" s="14">
        <f>IF(F13="🚨 ANOMALY SPIKE", "IMMEDIATE ESCALATION TO ENGINEERING", IF(F13="💳 CREDIT", "AUDIT CREDIT ALLOCATION", "APPROVED USAGE"))</f>
        <v/>
      </c>
    </row>
    <row r="14">
      <c r="A14" s="13">
        <f>'Master Cleaned Data Pipeline'!A9</f>
        <v/>
      </c>
      <c r="B14" s="13">
        <f>'Master Cleaned Data Pipeline'!B9</f>
        <v/>
      </c>
      <c r="C14" s="14">
        <f>'Master Cleaned Data Pipeline'!I9</f>
        <v/>
      </c>
      <c r="D14" s="14">
        <f>'Master Cleaned Data Pipeline'!F9</f>
        <v/>
      </c>
      <c r="E14" s="15">
        <f>'Master Cleaned Data Pipeline'!G9</f>
        <v/>
      </c>
      <c r="F14" s="13">
        <f>IF(E14&gt;'Stats &amp; 3-Sigma Control Bounds'!$C$21, "🚨 ANOMALY SPIKE", IF(E14&lt;0, "💳 CREDIT", "NORMAL"))</f>
        <v/>
      </c>
      <c r="G14" s="16">
        <f>(E14-'Stats &amp; 3-Sigma Control Bounds'!$C$6)/'Stats &amp; 3-Sigma Control Bounds'!$C$9</f>
        <v/>
      </c>
      <c r="H14" s="14">
        <f>IF(F14="🚨 ANOMALY SPIKE", "IMMEDIATE ESCALATION TO ENGINEERING", IF(F14="💳 CREDIT", "AUDIT CREDIT ALLOCATION", "APPROVED USAGE"))</f>
        <v/>
      </c>
    </row>
    <row r="15">
      <c r="A15" s="13">
        <f>'Master Cleaned Data Pipeline'!A10</f>
        <v/>
      </c>
      <c r="B15" s="13">
        <f>'Master Cleaned Data Pipeline'!B10</f>
        <v/>
      </c>
      <c r="C15" s="14">
        <f>'Master Cleaned Data Pipeline'!I10</f>
        <v/>
      </c>
      <c r="D15" s="14">
        <f>'Master Cleaned Data Pipeline'!F10</f>
        <v/>
      </c>
      <c r="E15" s="15">
        <f>'Master Cleaned Data Pipeline'!G10</f>
        <v/>
      </c>
      <c r="F15" s="13">
        <f>IF(E15&gt;'Stats &amp; 3-Sigma Control Bounds'!$C$21, "🚨 ANOMALY SPIKE", IF(E15&lt;0, "💳 CREDIT", "NORMAL"))</f>
        <v/>
      </c>
      <c r="G15" s="16">
        <f>(E15-'Stats &amp; 3-Sigma Control Bounds'!$C$6)/'Stats &amp; 3-Sigma Control Bounds'!$C$9</f>
        <v/>
      </c>
      <c r="H15" s="14">
        <f>IF(F15="🚨 ANOMALY SPIKE", "IMMEDIATE ESCALATION TO ENGINEERING", IF(F15="💳 CREDIT", "AUDIT CREDIT ALLOCATION", "APPROVED USAGE"))</f>
        <v/>
      </c>
    </row>
    <row r="16">
      <c r="A16" s="13">
        <f>'Master Cleaned Data Pipeline'!A11</f>
        <v/>
      </c>
      <c r="B16" s="13">
        <f>'Master Cleaned Data Pipeline'!B11</f>
        <v/>
      </c>
      <c r="C16" s="14">
        <f>'Master Cleaned Data Pipeline'!I11</f>
        <v/>
      </c>
      <c r="D16" s="14">
        <f>'Master Cleaned Data Pipeline'!F11</f>
        <v/>
      </c>
      <c r="E16" s="15">
        <f>'Master Cleaned Data Pipeline'!G11</f>
        <v/>
      </c>
      <c r="F16" s="13">
        <f>IF(E16&gt;'Stats &amp; 3-Sigma Control Bounds'!$C$21, "🚨 ANOMALY SPIKE", IF(E16&lt;0, "💳 CREDIT", "NORMAL"))</f>
        <v/>
      </c>
      <c r="G16" s="16">
        <f>(E16-'Stats &amp; 3-Sigma Control Bounds'!$C$6)/'Stats &amp; 3-Sigma Control Bounds'!$C$9</f>
        <v/>
      </c>
      <c r="H16" s="14">
        <f>IF(F16="🚨 ANOMALY SPIKE", "IMMEDIATE ESCALATION TO ENGINEERING", IF(F16="💳 CREDIT", "AUDIT CREDIT ALLOCATION", "APPROVED USAGE"))</f>
        <v/>
      </c>
    </row>
    <row r="17">
      <c r="A17" s="13">
        <f>'Master Cleaned Data Pipeline'!A12</f>
        <v/>
      </c>
      <c r="B17" s="13">
        <f>'Master Cleaned Data Pipeline'!B12</f>
        <v/>
      </c>
      <c r="C17" s="14">
        <f>'Master Cleaned Data Pipeline'!I12</f>
        <v/>
      </c>
      <c r="D17" s="14">
        <f>'Master Cleaned Data Pipeline'!F12</f>
        <v/>
      </c>
      <c r="E17" s="15">
        <f>'Master Cleaned Data Pipeline'!G12</f>
        <v/>
      </c>
      <c r="F17" s="13">
        <f>IF(E17&gt;'Stats &amp; 3-Sigma Control Bounds'!$C$21, "🚨 ANOMALY SPIKE", IF(E17&lt;0, "💳 CREDIT", "NORMAL"))</f>
        <v/>
      </c>
      <c r="G17" s="16">
        <f>(E17-'Stats &amp; 3-Sigma Control Bounds'!$C$6)/'Stats &amp; 3-Sigma Control Bounds'!$C$9</f>
        <v/>
      </c>
      <c r="H17" s="14">
        <f>IF(F17="🚨 ANOMALY SPIKE", "IMMEDIATE ESCALATION TO ENGINEERING", IF(F17="💳 CREDIT", "AUDIT CREDIT ALLOCATION", "APPROVED USAGE"))</f>
        <v/>
      </c>
    </row>
    <row r="18">
      <c r="A18" s="13">
        <f>'Master Cleaned Data Pipeline'!A13</f>
        <v/>
      </c>
      <c r="B18" s="13">
        <f>'Master Cleaned Data Pipeline'!B13</f>
        <v/>
      </c>
      <c r="C18" s="14">
        <f>'Master Cleaned Data Pipeline'!I13</f>
        <v/>
      </c>
      <c r="D18" s="14">
        <f>'Master Cleaned Data Pipeline'!F13</f>
        <v/>
      </c>
      <c r="E18" s="15">
        <f>'Master Cleaned Data Pipeline'!G13</f>
        <v/>
      </c>
      <c r="F18" s="13">
        <f>IF(E18&gt;'Stats &amp; 3-Sigma Control Bounds'!$C$21, "🚨 ANOMALY SPIKE", IF(E18&lt;0, "💳 CREDIT", "NORMAL"))</f>
        <v/>
      </c>
      <c r="G18" s="16">
        <f>(E18-'Stats &amp; 3-Sigma Control Bounds'!$C$6)/'Stats &amp; 3-Sigma Control Bounds'!$C$9</f>
        <v/>
      </c>
      <c r="H18" s="14">
        <f>IF(F18="🚨 ANOMALY SPIKE", "IMMEDIATE ESCALATION TO ENGINEERING", IF(F18="💳 CREDIT", "AUDIT CREDIT ALLOCATION", "APPROVED USAGE"))</f>
        <v/>
      </c>
    </row>
    <row r="19">
      <c r="A19" s="13">
        <f>'Master Cleaned Data Pipeline'!A14</f>
        <v/>
      </c>
      <c r="B19" s="13">
        <f>'Master Cleaned Data Pipeline'!B14</f>
        <v/>
      </c>
      <c r="C19" s="14">
        <f>'Master Cleaned Data Pipeline'!I14</f>
        <v/>
      </c>
      <c r="D19" s="14">
        <f>'Master Cleaned Data Pipeline'!F14</f>
        <v/>
      </c>
      <c r="E19" s="15">
        <f>'Master Cleaned Data Pipeline'!G14</f>
        <v/>
      </c>
      <c r="F19" s="13">
        <f>IF(E19&gt;'Stats &amp; 3-Sigma Control Bounds'!$C$21, "🚨 ANOMALY SPIKE", IF(E19&lt;0, "💳 CREDIT", "NORMAL"))</f>
        <v/>
      </c>
      <c r="G19" s="16">
        <f>(E19-'Stats &amp; 3-Sigma Control Bounds'!$C$6)/'Stats &amp; 3-Sigma Control Bounds'!$C$9</f>
        <v/>
      </c>
      <c r="H19" s="14">
        <f>IF(F19="🚨 ANOMALY SPIKE", "IMMEDIATE ESCALATION TO ENGINEERING", IF(F19="💳 CREDIT", "AUDIT CREDIT ALLOCATION", "APPROVED USAGE"))</f>
        <v/>
      </c>
    </row>
    <row r="20">
      <c r="A20" s="13">
        <f>'Master Cleaned Data Pipeline'!A15</f>
        <v/>
      </c>
      <c r="B20" s="13">
        <f>'Master Cleaned Data Pipeline'!B15</f>
        <v/>
      </c>
      <c r="C20" s="14">
        <f>'Master Cleaned Data Pipeline'!I15</f>
        <v/>
      </c>
      <c r="D20" s="14">
        <f>'Master Cleaned Data Pipeline'!F15</f>
        <v/>
      </c>
      <c r="E20" s="15">
        <f>'Master Cleaned Data Pipeline'!G15</f>
        <v/>
      </c>
      <c r="F20" s="13">
        <f>IF(E20&gt;'Stats &amp; 3-Sigma Control Bounds'!$C$21, "🚨 ANOMALY SPIKE", IF(E20&lt;0, "💳 CREDIT", "NORMAL"))</f>
        <v/>
      </c>
      <c r="G20" s="16">
        <f>(E20-'Stats &amp; 3-Sigma Control Bounds'!$C$6)/'Stats &amp; 3-Sigma Control Bounds'!$C$9</f>
        <v/>
      </c>
      <c r="H20" s="14">
        <f>IF(F20="🚨 ANOMALY SPIKE", "IMMEDIATE ESCALATION TO ENGINEERING", IF(F20="💳 CREDIT", "AUDIT CREDIT ALLOCATION", "APPROVED USAGE"))</f>
        <v/>
      </c>
    </row>
    <row r="21">
      <c r="A21" s="13">
        <f>'Master Cleaned Data Pipeline'!A16</f>
        <v/>
      </c>
      <c r="B21" s="13">
        <f>'Master Cleaned Data Pipeline'!B16</f>
        <v/>
      </c>
      <c r="C21" s="14">
        <f>'Master Cleaned Data Pipeline'!I16</f>
        <v/>
      </c>
      <c r="D21" s="14">
        <f>'Master Cleaned Data Pipeline'!F16</f>
        <v/>
      </c>
      <c r="E21" s="15">
        <f>'Master Cleaned Data Pipeline'!G16</f>
        <v/>
      </c>
      <c r="F21" s="13">
        <f>IF(E21&gt;'Stats &amp; 3-Sigma Control Bounds'!$C$21, "🚨 ANOMALY SPIKE", IF(E21&lt;0, "💳 CREDIT", "NORMAL"))</f>
        <v/>
      </c>
      <c r="G21" s="16">
        <f>(E21-'Stats &amp; 3-Sigma Control Bounds'!$C$6)/'Stats &amp; 3-Sigma Control Bounds'!$C$9</f>
        <v/>
      </c>
      <c r="H21" s="14">
        <f>IF(F21="🚨 ANOMALY SPIKE", "IMMEDIATE ESCALATION TO ENGINEERING", IF(F21="💳 CREDIT", "AUDIT CREDIT ALLOCATION", "APPROVED USAGE"))</f>
        <v/>
      </c>
    </row>
    <row r="22">
      <c r="A22" s="13">
        <f>'Master Cleaned Data Pipeline'!A17</f>
        <v/>
      </c>
      <c r="B22" s="13">
        <f>'Master Cleaned Data Pipeline'!B17</f>
        <v/>
      </c>
      <c r="C22" s="14">
        <f>'Master Cleaned Data Pipeline'!I17</f>
        <v/>
      </c>
      <c r="D22" s="14">
        <f>'Master Cleaned Data Pipeline'!F17</f>
        <v/>
      </c>
      <c r="E22" s="15">
        <f>'Master Cleaned Data Pipeline'!G17</f>
        <v/>
      </c>
      <c r="F22" s="13">
        <f>IF(E22&gt;'Stats &amp; 3-Sigma Control Bounds'!$C$21, "🚨 ANOMALY SPIKE", IF(E22&lt;0, "💳 CREDIT", "NORMAL"))</f>
        <v/>
      </c>
      <c r="G22" s="16">
        <f>(E22-'Stats &amp; 3-Sigma Control Bounds'!$C$6)/'Stats &amp; 3-Sigma Control Bounds'!$C$9</f>
        <v/>
      </c>
      <c r="H22" s="14">
        <f>IF(F22="🚨 ANOMALY SPIKE", "IMMEDIATE ESCALATION TO ENGINEERING", IF(F22="💳 CREDIT", "AUDIT CREDIT ALLOCATION", "APPROVED USAGE"))</f>
        <v/>
      </c>
    </row>
    <row r="23">
      <c r="A23" s="13">
        <f>'Master Cleaned Data Pipeline'!A18</f>
        <v/>
      </c>
      <c r="B23" s="13">
        <f>'Master Cleaned Data Pipeline'!B18</f>
        <v/>
      </c>
      <c r="C23" s="14">
        <f>'Master Cleaned Data Pipeline'!I18</f>
        <v/>
      </c>
      <c r="D23" s="14">
        <f>'Master Cleaned Data Pipeline'!F18</f>
        <v/>
      </c>
      <c r="E23" s="15">
        <f>'Master Cleaned Data Pipeline'!G18</f>
        <v/>
      </c>
      <c r="F23" s="13">
        <f>IF(E23&gt;'Stats &amp; 3-Sigma Control Bounds'!$C$21, "🚨 ANOMALY SPIKE", IF(E23&lt;0, "💳 CREDIT", "NORMAL"))</f>
        <v/>
      </c>
      <c r="G23" s="16">
        <f>(E23-'Stats &amp; 3-Sigma Control Bounds'!$C$6)/'Stats &amp; 3-Sigma Control Bounds'!$C$9</f>
        <v/>
      </c>
      <c r="H23" s="14">
        <f>IF(F23="🚨 ANOMALY SPIKE", "IMMEDIATE ESCALATION TO ENGINEERING", IF(F23="💳 CREDIT", "AUDIT CREDIT ALLOCATION", "APPROVED USAGE"))</f>
        <v/>
      </c>
    </row>
    <row r="24">
      <c r="A24" s="13">
        <f>'Master Cleaned Data Pipeline'!A19</f>
        <v/>
      </c>
      <c r="B24" s="13">
        <f>'Master Cleaned Data Pipeline'!B19</f>
        <v/>
      </c>
      <c r="C24" s="14">
        <f>'Master Cleaned Data Pipeline'!I19</f>
        <v/>
      </c>
      <c r="D24" s="14">
        <f>'Master Cleaned Data Pipeline'!F19</f>
        <v/>
      </c>
      <c r="E24" s="15">
        <f>'Master Cleaned Data Pipeline'!G19</f>
        <v/>
      </c>
      <c r="F24" s="13">
        <f>IF(E24&gt;'Stats &amp; 3-Sigma Control Bounds'!$C$21, "🚨 ANOMALY SPIKE", IF(E24&lt;0, "💳 CREDIT", "NORMAL"))</f>
        <v/>
      </c>
      <c r="G24" s="16">
        <f>(E24-'Stats &amp; 3-Sigma Control Bounds'!$C$6)/'Stats &amp; 3-Sigma Control Bounds'!$C$9</f>
        <v/>
      </c>
      <c r="H24" s="14">
        <f>IF(F24="🚨 ANOMALY SPIKE", "IMMEDIATE ESCALATION TO ENGINEERING", IF(F24="💳 CREDIT", "AUDIT CREDIT ALLOCATION", "APPROVED USAGE"))</f>
        <v/>
      </c>
    </row>
    <row r="25">
      <c r="A25" s="13">
        <f>'Master Cleaned Data Pipeline'!A20</f>
        <v/>
      </c>
      <c r="B25" s="13">
        <f>'Master Cleaned Data Pipeline'!B20</f>
        <v/>
      </c>
      <c r="C25" s="14">
        <f>'Master Cleaned Data Pipeline'!I20</f>
        <v/>
      </c>
      <c r="D25" s="14">
        <f>'Master Cleaned Data Pipeline'!F20</f>
        <v/>
      </c>
      <c r="E25" s="15">
        <f>'Master Cleaned Data Pipeline'!G20</f>
        <v/>
      </c>
      <c r="F25" s="13">
        <f>IF(E25&gt;'Stats &amp; 3-Sigma Control Bounds'!$C$21, "🚨 ANOMALY SPIKE", IF(E25&lt;0, "💳 CREDIT", "NORMAL"))</f>
        <v/>
      </c>
      <c r="G25" s="16">
        <f>(E25-'Stats &amp; 3-Sigma Control Bounds'!$C$6)/'Stats &amp; 3-Sigma Control Bounds'!$C$9</f>
        <v/>
      </c>
      <c r="H25" s="14">
        <f>IF(F25="🚨 ANOMALY SPIKE", "IMMEDIATE ESCALATION TO ENGINEERING", IF(F25="💳 CREDIT", "AUDIT CREDIT ALLOCATION", "APPROVED USAGE"))</f>
        <v/>
      </c>
    </row>
    <row r="26">
      <c r="A26" s="13">
        <f>'Master Cleaned Data Pipeline'!A21</f>
        <v/>
      </c>
      <c r="B26" s="13">
        <f>'Master Cleaned Data Pipeline'!B21</f>
        <v/>
      </c>
      <c r="C26" s="14">
        <f>'Master Cleaned Data Pipeline'!I21</f>
        <v/>
      </c>
      <c r="D26" s="14">
        <f>'Master Cleaned Data Pipeline'!F21</f>
        <v/>
      </c>
      <c r="E26" s="15">
        <f>'Master Cleaned Data Pipeline'!G21</f>
        <v/>
      </c>
      <c r="F26" s="13">
        <f>IF(E26&gt;'Stats &amp; 3-Sigma Control Bounds'!$C$21, "🚨 ANOMALY SPIKE", IF(E26&lt;0, "💳 CREDIT", "NORMAL"))</f>
        <v/>
      </c>
      <c r="G26" s="16">
        <f>(E26-'Stats &amp; 3-Sigma Control Bounds'!$C$6)/'Stats &amp; 3-Sigma Control Bounds'!$C$9</f>
        <v/>
      </c>
      <c r="H26" s="14">
        <f>IF(F26="🚨 ANOMALY SPIKE", "IMMEDIATE ESCALATION TO ENGINEERING", IF(F26="💳 CREDIT", "AUDIT CREDIT ALLOCATION", "APPROVED USAGE"))</f>
        <v/>
      </c>
    </row>
    <row r="27">
      <c r="A27" s="13">
        <f>'Master Cleaned Data Pipeline'!A22</f>
        <v/>
      </c>
      <c r="B27" s="13">
        <f>'Master Cleaned Data Pipeline'!B22</f>
        <v/>
      </c>
      <c r="C27" s="14">
        <f>'Master Cleaned Data Pipeline'!I22</f>
        <v/>
      </c>
      <c r="D27" s="14">
        <f>'Master Cleaned Data Pipeline'!F22</f>
        <v/>
      </c>
      <c r="E27" s="15">
        <f>'Master Cleaned Data Pipeline'!G22</f>
        <v/>
      </c>
      <c r="F27" s="13">
        <f>IF(E27&gt;'Stats &amp; 3-Sigma Control Bounds'!$C$21, "🚨 ANOMALY SPIKE", IF(E27&lt;0, "💳 CREDIT", "NORMAL"))</f>
        <v/>
      </c>
      <c r="G27" s="16">
        <f>(E27-'Stats &amp; 3-Sigma Control Bounds'!$C$6)/'Stats &amp; 3-Sigma Control Bounds'!$C$9</f>
        <v/>
      </c>
      <c r="H27" s="14">
        <f>IF(F27="🚨 ANOMALY SPIKE", "IMMEDIATE ESCALATION TO ENGINEERING", IF(F27="💳 CREDIT", "AUDIT CREDIT ALLOCATION", "APPROVED USAGE"))</f>
        <v/>
      </c>
    </row>
    <row r="28">
      <c r="A28" s="13">
        <f>'Master Cleaned Data Pipeline'!A23</f>
        <v/>
      </c>
      <c r="B28" s="13">
        <f>'Master Cleaned Data Pipeline'!B23</f>
        <v/>
      </c>
      <c r="C28" s="14">
        <f>'Master Cleaned Data Pipeline'!I23</f>
        <v/>
      </c>
      <c r="D28" s="14">
        <f>'Master Cleaned Data Pipeline'!F23</f>
        <v/>
      </c>
      <c r="E28" s="15">
        <f>'Master Cleaned Data Pipeline'!G23</f>
        <v/>
      </c>
      <c r="F28" s="13">
        <f>IF(E28&gt;'Stats &amp; 3-Sigma Control Bounds'!$C$21, "🚨 ANOMALY SPIKE", IF(E28&lt;0, "💳 CREDIT", "NORMAL"))</f>
        <v/>
      </c>
      <c r="G28" s="16">
        <f>(E28-'Stats &amp; 3-Sigma Control Bounds'!$C$6)/'Stats &amp; 3-Sigma Control Bounds'!$C$9</f>
        <v/>
      </c>
      <c r="H28" s="14">
        <f>IF(F28="🚨 ANOMALY SPIKE", "IMMEDIATE ESCALATION TO ENGINEERING", IF(F28="💳 CREDIT", "AUDIT CREDIT ALLOCATION", "APPROVED USAGE"))</f>
        <v/>
      </c>
    </row>
    <row r="29">
      <c r="A29" s="13">
        <f>'Master Cleaned Data Pipeline'!A24</f>
        <v/>
      </c>
      <c r="B29" s="13">
        <f>'Master Cleaned Data Pipeline'!B24</f>
        <v/>
      </c>
      <c r="C29" s="14">
        <f>'Master Cleaned Data Pipeline'!I24</f>
        <v/>
      </c>
      <c r="D29" s="14">
        <f>'Master Cleaned Data Pipeline'!F24</f>
        <v/>
      </c>
      <c r="E29" s="15">
        <f>'Master Cleaned Data Pipeline'!G24</f>
        <v/>
      </c>
      <c r="F29" s="13">
        <f>IF(E29&gt;'Stats &amp; 3-Sigma Control Bounds'!$C$21, "🚨 ANOMALY SPIKE", IF(E29&lt;0, "💳 CREDIT", "NORMAL"))</f>
        <v/>
      </c>
      <c r="G29" s="16">
        <f>(E29-'Stats &amp; 3-Sigma Control Bounds'!$C$6)/'Stats &amp; 3-Sigma Control Bounds'!$C$9</f>
        <v/>
      </c>
      <c r="H29" s="14">
        <f>IF(F29="🚨 ANOMALY SPIKE", "IMMEDIATE ESCALATION TO ENGINEERING", IF(F29="💳 CREDIT", "AUDIT CREDIT ALLOCATION", "APPROVED USAGE"))</f>
        <v/>
      </c>
    </row>
    <row r="30">
      <c r="A30" s="13">
        <f>'Master Cleaned Data Pipeline'!A25</f>
        <v/>
      </c>
      <c r="B30" s="13">
        <f>'Master Cleaned Data Pipeline'!B25</f>
        <v/>
      </c>
      <c r="C30" s="14">
        <f>'Master Cleaned Data Pipeline'!I25</f>
        <v/>
      </c>
      <c r="D30" s="14">
        <f>'Master Cleaned Data Pipeline'!F25</f>
        <v/>
      </c>
      <c r="E30" s="15">
        <f>'Master Cleaned Data Pipeline'!G25</f>
        <v/>
      </c>
      <c r="F30" s="13">
        <f>IF(E30&gt;'Stats &amp; 3-Sigma Control Bounds'!$C$21, "🚨 ANOMALY SPIKE", IF(E30&lt;0, "💳 CREDIT", "NORMAL"))</f>
        <v/>
      </c>
      <c r="G30" s="16">
        <f>(E30-'Stats &amp; 3-Sigma Control Bounds'!$C$6)/'Stats &amp; 3-Sigma Control Bounds'!$C$9</f>
        <v/>
      </c>
      <c r="H30" s="14">
        <f>IF(F30="🚨 ANOMALY SPIKE", "IMMEDIATE ESCALATION TO ENGINEERING", IF(F30="💳 CREDIT", "AUDIT CREDIT ALLOCATION", "APPROVED USAGE"))</f>
        <v/>
      </c>
    </row>
    <row r="31">
      <c r="A31" s="13">
        <f>'Master Cleaned Data Pipeline'!A26</f>
        <v/>
      </c>
      <c r="B31" s="13">
        <f>'Master Cleaned Data Pipeline'!B26</f>
        <v/>
      </c>
      <c r="C31" s="14">
        <f>'Master Cleaned Data Pipeline'!I26</f>
        <v/>
      </c>
      <c r="D31" s="14">
        <f>'Master Cleaned Data Pipeline'!F26</f>
        <v/>
      </c>
      <c r="E31" s="15">
        <f>'Master Cleaned Data Pipeline'!G26</f>
        <v/>
      </c>
      <c r="F31" s="13">
        <f>IF(E31&gt;'Stats &amp; 3-Sigma Control Bounds'!$C$21, "🚨 ANOMALY SPIKE", IF(E31&lt;0, "💳 CREDIT", "NORMAL"))</f>
        <v/>
      </c>
      <c r="G31" s="16">
        <f>(E31-'Stats &amp; 3-Sigma Control Bounds'!$C$6)/'Stats &amp; 3-Sigma Control Bounds'!$C$9</f>
        <v/>
      </c>
      <c r="H31" s="14">
        <f>IF(F31="🚨 ANOMALY SPIKE", "IMMEDIATE ESCALATION TO ENGINEERING", IF(F31="💳 CREDIT", "AUDIT CREDIT ALLOCATION", "APPROVED USAGE"))</f>
        <v/>
      </c>
    </row>
    <row r="32">
      <c r="A32" s="13">
        <f>'Master Cleaned Data Pipeline'!A27</f>
        <v/>
      </c>
      <c r="B32" s="13">
        <f>'Master Cleaned Data Pipeline'!B27</f>
        <v/>
      </c>
      <c r="C32" s="14">
        <f>'Master Cleaned Data Pipeline'!I27</f>
        <v/>
      </c>
      <c r="D32" s="14">
        <f>'Master Cleaned Data Pipeline'!F27</f>
        <v/>
      </c>
      <c r="E32" s="15">
        <f>'Master Cleaned Data Pipeline'!G27</f>
        <v/>
      </c>
      <c r="F32" s="13">
        <f>IF(E32&gt;'Stats &amp; 3-Sigma Control Bounds'!$C$21, "🚨 ANOMALY SPIKE", IF(E32&lt;0, "💳 CREDIT", "NORMAL"))</f>
        <v/>
      </c>
      <c r="G32" s="16">
        <f>(E32-'Stats &amp; 3-Sigma Control Bounds'!$C$6)/'Stats &amp; 3-Sigma Control Bounds'!$C$9</f>
        <v/>
      </c>
      <c r="H32" s="14">
        <f>IF(F32="🚨 ANOMALY SPIKE", "IMMEDIATE ESCALATION TO ENGINEERING", IF(F32="💳 CREDIT", "AUDIT CREDIT ALLOCATION", "APPROVED USAGE"))</f>
        <v/>
      </c>
    </row>
    <row r="33">
      <c r="A33" s="13">
        <f>'Master Cleaned Data Pipeline'!A28</f>
        <v/>
      </c>
      <c r="B33" s="13">
        <f>'Master Cleaned Data Pipeline'!B28</f>
        <v/>
      </c>
      <c r="C33" s="14">
        <f>'Master Cleaned Data Pipeline'!I28</f>
        <v/>
      </c>
      <c r="D33" s="14">
        <f>'Master Cleaned Data Pipeline'!F28</f>
        <v/>
      </c>
      <c r="E33" s="15">
        <f>'Master Cleaned Data Pipeline'!G28</f>
        <v/>
      </c>
      <c r="F33" s="13">
        <f>IF(E33&gt;'Stats &amp; 3-Sigma Control Bounds'!$C$21, "🚨 ANOMALY SPIKE", IF(E33&lt;0, "💳 CREDIT", "NORMAL"))</f>
        <v/>
      </c>
      <c r="G33" s="16">
        <f>(E33-'Stats &amp; 3-Sigma Control Bounds'!$C$6)/'Stats &amp; 3-Sigma Control Bounds'!$C$9</f>
        <v/>
      </c>
      <c r="H33" s="14">
        <f>IF(F33="🚨 ANOMALY SPIKE", "IMMEDIATE ESCALATION TO ENGINEERING", IF(F33="💳 CREDIT", "AUDIT CREDIT ALLOCATION", "APPROVED USAGE"))</f>
        <v/>
      </c>
    </row>
    <row r="34">
      <c r="A34" s="13">
        <f>'Master Cleaned Data Pipeline'!A29</f>
        <v/>
      </c>
      <c r="B34" s="13">
        <f>'Master Cleaned Data Pipeline'!B29</f>
        <v/>
      </c>
      <c r="C34" s="14">
        <f>'Master Cleaned Data Pipeline'!I29</f>
        <v/>
      </c>
      <c r="D34" s="14">
        <f>'Master Cleaned Data Pipeline'!F29</f>
        <v/>
      </c>
      <c r="E34" s="15">
        <f>'Master Cleaned Data Pipeline'!G29</f>
        <v/>
      </c>
      <c r="F34" s="13">
        <f>IF(E34&gt;'Stats &amp; 3-Sigma Control Bounds'!$C$21, "🚨 ANOMALY SPIKE", IF(E34&lt;0, "💳 CREDIT", "NORMAL"))</f>
        <v/>
      </c>
      <c r="G34" s="16">
        <f>(E34-'Stats &amp; 3-Sigma Control Bounds'!$C$6)/'Stats &amp; 3-Sigma Control Bounds'!$C$9</f>
        <v/>
      </c>
      <c r="H34" s="14">
        <f>IF(F34="🚨 ANOMALY SPIKE", "IMMEDIATE ESCALATION TO ENGINEERING", IF(F34="💳 CREDIT", "AUDIT CREDIT ALLOCATION", "APPROVED USAGE"))</f>
        <v/>
      </c>
    </row>
    <row r="35">
      <c r="A35" s="13">
        <f>'Master Cleaned Data Pipeline'!A30</f>
        <v/>
      </c>
      <c r="B35" s="13">
        <f>'Master Cleaned Data Pipeline'!B30</f>
        <v/>
      </c>
      <c r="C35" s="14">
        <f>'Master Cleaned Data Pipeline'!I30</f>
        <v/>
      </c>
      <c r="D35" s="14">
        <f>'Master Cleaned Data Pipeline'!F30</f>
        <v/>
      </c>
      <c r="E35" s="15">
        <f>'Master Cleaned Data Pipeline'!G30</f>
        <v/>
      </c>
      <c r="F35" s="13">
        <f>IF(E35&gt;'Stats &amp; 3-Sigma Control Bounds'!$C$21, "🚨 ANOMALY SPIKE", IF(E35&lt;0, "💳 CREDIT", "NORMAL"))</f>
        <v/>
      </c>
      <c r="G35" s="16">
        <f>(E35-'Stats &amp; 3-Sigma Control Bounds'!$C$6)/'Stats &amp; 3-Sigma Control Bounds'!$C$9</f>
        <v/>
      </c>
      <c r="H35" s="14">
        <f>IF(F35="🚨 ANOMALY SPIKE", "IMMEDIATE ESCALATION TO ENGINEERING", IF(F35="💳 CREDIT", "AUDIT CREDIT ALLOCATION", "APPROVED USAGE"))</f>
        <v/>
      </c>
    </row>
    <row r="36">
      <c r="A36" s="13">
        <f>'Master Cleaned Data Pipeline'!A31</f>
        <v/>
      </c>
      <c r="B36" s="13">
        <f>'Master Cleaned Data Pipeline'!B31</f>
        <v/>
      </c>
      <c r="C36" s="14">
        <f>'Master Cleaned Data Pipeline'!I31</f>
        <v/>
      </c>
      <c r="D36" s="14">
        <f>'Master Cleaned Data Pipeline'!F31</f>
        <v/>
      </c>
      <c r="E36" s="15">
        <f>'Master Cleaned Data Pipeline'!G31</f>
        <v/>
      </c>
      <c r="F36" s="13">
        <f>IF(E36&gt;'Stats &amp; 3-Sigma Control Bounds'!$C$21, "🚨 ANOMALY SPIKE", IF(E36&lt;0, "💳 CREDIT", "NORMAL"))</f>
        <v/>
      </c>
      <c r="G36" s="16">
        <f>(E36-'Stats &amp; 3-Sigma Control Bounds'!$C$6)/'Stats &amp; 3-Sigma Control Bounds'!$C$9</f>
        <v/>
      </c>
      <c r="H36" s="14">
        <f>IF(F36="🚨 ANOMALY SPIKE", "IMMEDIATE ESCALATION TO ENGINEERING", IF(F36="💳 CREDIT", "AUDIT CREDIT ALLOCATION", "APPROVED USAGE"))</f>
        <v/>
      </c>
    </row>
    <row r="37">
      <c r="A37" s="13">
        <f>'Master Cleaned Data Pipeline'!A32</f>
        <v/>
      </c>
      <c r="B37" s="13">
        <f>'Master Cleaned Data Pipeline'!B32</f>
        <v/>
      </c>
      <c r="C37" s="14">
        <f>'Master Cleaned Data Pipeline'!I32</f>
        <v/>
      </c>
      <c r="D37" s="14">
        <f>'Master Cleaned Data Pipeline'!F32</f>
        <v/>
      </c>
      <c r="E37" s="15">
        <f>'Master Cleaned Data Pipeline'!G32</f>
        <v/>
      </c>
      <c r="F37" s="13">
        <f>IF(E37&gt;'Stats &amp; 3-Sigma Control Bounds'!$C$21, "🚨 ANOMALY SPIKE", IF(E37&lt;0, "💳 CREDIT", "NORMAL"))</f>
        <v/>
      </c>
      <c r="G37" s="16">
        <f>(E37-'Stats &amp; 3-Sigma Control Bounds'!$C$6)/'Stats &amp; 3-Sigma Control Bounds'!$C$9</f>
        <v/>
      </c>
      <c r="H37" s="14">
        <f>IF(F37="🚨 ANOMALY SPIKE", "IMMEDIATE ESCALATION TO ENGINEERING", IF(F37="💳 CREDIT", "AUDIT CREDIT ALLOCATION", "APPROVED USAGE"))</f>
        <v/>
      </c>
    </row>
    <row r="38">
      <c r="A38" s="13">
        <f>'Master Cleaned Data Pipeline'!A33</f>
        <v/>
      </c>
      <c r="B38" s="13">
        <f>'Master Cleaned Data Pipeline'!B33</f>
        <v/>
      </c>
      <c r="C38" s="14">
        <f>'Master Cleaned Data Pipeline'!I33</f>
        <v/>
      </c>
      <c r="D38" s="14">
        <f>'Master Cleaned Data Pipeline'!F33</f>
        <v/>
      </c>
      <c r="E38" s="15">
        <f>'Master Cleaned Data Pipeline'!G33</f>
        <v/>
      </c>
      <c r="F38" s="13">
        <f>IF(E38&gt;'Stats &amp; 3-Sigma Control Bounds'!$C$21, "🚨 ANOMALY SPIKE", IF(E38&lt;0, "💳 CREDIT", "NORMAL"))</f>
        <v/>
      </c>
      <c r="G38" s="16">
        <f>(E38-'Stats &amp; 3-Sigma Control Bounds'!$C$6)/'Stats &amp; 3-Sigma Control Bounds'!$C$9</f>
        <v/>
      </c>
      <c r="H38" s="14">
        <f>IF(F38="🚨 ANOMALY SPIKE", "IMMEDIATE ESCALATION TO ENGINEERING", IF(F38="💳 CREDIT", "AUDIT CREDIT ALLOCATION", "APPROVED USAGE"))</f>
        <v/>
      </c>
    </row>
    <row r="39">
      <c r="A39" s="13">
        <f>'Master Cleaned Data Pipeline'!A34</f>
        <v/>
      </c>
      <c r="B39" s="13">
        <f>'Master Cleaned Data Pipeline'!B34</f>
        <v/>
      </c>
      <c r="C39" s="14">
        <f>'Master Cleaned Data Pipeline'!I34</f>
        <v/>
      </c>
      <c r="D39" s="14">
        <f>'Master Cleaned Data Pipeline'!F34</f>
        <v/>
      </c>
      <c r="E39" s="15">
        <f>'Master Cleaned Data Pipeline'!G34</f>
        <v/>
      </c>
      <c r="F39" s="13">
        <f>IF(E39&gt;'Stats &amp; 3-Sigma Control Bounds'!$C$21, "🚨 ANOMALY SPIKE", IF(E39&lt;0, "💳 CREDIT", "NORMAL"))</f>
        <v/>
      </c>
      <c r="G39" s="16">
        <f>(E39-'Stats &amp; 3-Sigma Control Bounds'!$C$6)/'Stats &amp; 3-Sigma Control Bounds'!$C$9</f>
        <v/>
      </c>
      <c r="H39" s="14">
        <f>IF(F39="🚨 ANOMALY SPIKE", "IMMEDIATE ESCALATION TO ENGINEERING", IF(F39="💳 CREDIT", "AUDIT CREDIT ALLOCATION", "APPROVED USAGE"))</f>
        <v/>
      </c>
    </row>
    <row r="40">
      <c r="A40" s="13">
        <f>'Master Cleaned Data Pipeline'!A35</f>
        <v/>
      </c>
      <c r="B40" s="13">
        <f>'Master Cleaned Data Pipeline'!B35</f>
        <v/>
      </c>
      <c r="C40" s="14">
        <f>'Master Cleaned Data Pipeline'!I35</f>
        <v/>
      </c>
      <c r="D40" s="14">
        <f>'Master Cleaned Data Pipeline'!F35</f>
        <v/>
      </c>
      <c r="E40" s="15">
        <f>'Master Cleaned Data Pipeline'!G35</f>
        <v/>
      </c>
      <c r="F40" s="13">
        <f>IF(E40&gt;'Stats &amp; 3-Sigma Control Bounds'!$C$21, "🚨 ANOMALY SPIKE", IF(E40&lt;0, "💳 CREDIT", "NORMAL"))</f>
        <v/>
      </c>
      <c r="G40" s="16">
        <f>(E40-'Stats &amp; 3-Sigma Control Bounds'!$C$6)/'Stats &amp; 3-Sigma Control Bounds'!$C$9</f>
        <v/>
      </c>
      <c r="H40" s="14">
        <f>IF(F40="🚨 ANOMALY SPIKE", "IMMEDIATE ESCALATION TO ENGINEERING", IF(F40="💳 CREDIT", "AUDIT CREDIT ALLOCATION", "APPROVED USAGE"))</f>
        <v/>
      </c>
    </row>
    <row r="41">
      <c r="A41" s="13">
        <f>'Master Cleaned Data Pipeline'!A36</f>
        <v/>
      </c>
      <c r="B41" s="13">
        <f>'Master Cleaned Data Pipeline'!B36</f>
        <v/>
      </c>
      <c r="C41" s="14">
        <f>'Master Cleaned Data Pipeline'!I36</f>
        <v/>
      </c>
      <c r="D41" s="14">
        <f>'Master Cleaned Data Pipeline'!F36</f>
        <v/>
      </c>
      <c r="E41" s="15">
        <f>'Master Cleaned Data Pipeline'!G36</f>
        <v/>
      </c>
      <c r="F41" s="13">
        <f>IF(E41&gt;'Stats &amp; 3-Sigma Control Bounds'!$C$21, "🚨 ANOMALY SPIKE", IF(E41&lt;0, "💳 CREDIT", "NORMAL"))</f>
        <v/>
      </c>
      <c r="G41" s="16">
        <f>(E41-'Stats &amp; 3-Sigma Control Bounds'!$C$6)/'Stats &amp; 3-Sigma Control Bounds'!$C$9</f>
        <v/>
      </c>
      <c r="H41" s="14">
        <f>IF(F41="🚨 ANOMALY SPIKE", "IMMEDIATE ESCALATION TO ENGINEERING", IF(F41="💳 CREDIT", "AUDIT CREDIT ALLOCATION", "APPROVED USAGE"))</f>
        <v/>
      </c>
    </row>
    <row r="42">
      <c r="A42" s="13">
        <f>'Master Cleaned Data Pipeline'!A37</f>
        <v/>
      </c>
      <c r="B42" s="13">
        <f>'Master Cleaned Data Pipeline'!B37</f>
        <v/>
      </c>
      <c r="C42" s="14">
        <f>'Master Cleaned Data Pipeline'!I37</f>
        <v/>
      </c>
      <c r="D42" s="14">
        <f>'Master Cleaned Data Pipeline'!F37</f>
        <v/>
      </c>
      <c r="E42" s="15">
        <f>'Master Cleaned Data Pipeline'!G37</f>
        <v/>
      </c>
      <c r="F42" s="13">
        <f>IF(E42&gt;'Stats &amp; 3-Sigma Control Bounds'!$C$21, "🚨 ANOMALY SPIKE", IF(E42&lt;0, "💳 CREDIT", "NORMAL"))</f>
        <v/>
      </c>
      <c r="G42" s="16">
        <f>(E42-'Stats &amp; 3-Sigma Control Bounds'!$C$6)/'Stats &amp; 3-Sigma Control Bounds'!$C$9</f>
        <v/>
      </c>
      <c r="H42" s="14">
        <f>IF(F42="🚨 ANOMALY SPIKE", "IMMEDIATE ESCALATION TO ENGINEERING", IF(F42="💳 CREDIT", "AUDIT CREDIT ALLOCATION", "APPROVED USAGE"))</f>
        <v/>
      </c>
    </row>
    <row r="43">
      <c r="A43" s="13">
        <f>'Master Cleaned Data Pipeline'!A38</f>
        <v/>
      </c>
      <c r="B43" s="13">
        <f>'Master Cleaned Data Pipeline'!B38</f>
        <v/>
      </c>
      <c r="C43" s="14">
        <f>'Master Cleaned Data Pipeline'!I38</f>
        <v/>
      </c>
      <c r="D43" s="14">
        <f>'Master Cleaned Data Pipeline'!F38</f>
        <v/>
      </c>
      <c r="E43" s="15">
        <f>'Master Cleaned Data Pipeline'!G38</f>
        <v/>
      </c>
      <c r="F43" s="13">
        <f>IF(E43&gt;'Stats &amp; 3-Sigma Control Bounds'!$C$21, "🚨 ANOMALY SPIKE", IF(E43&lt;0, "💳 CREDIT", "NORMAL"))</f>
        <v/>
      </c>
      <c r="G43" s="16">
        <f>(E43-'Stats &amp; 3-Sigma Control Bounds'!$C$6)/'Stats &amp; 3-Sigma Control Bounds'!$C$9</f>
        <v/>
      </c>
      <c r="H43" s="14">
        <f>IF(F43="🚨 ANOMALY SPIKE", "IMMEDIATE ESCALATION TO ENGINEERING", IF(F43="💳 CREDIT", "AUDIT CREDIT ALLOCATION", "APPROVED USAGE"))</f>
        <v/>
      </c>
    </row>
    <row r="44">
      <c r="A44" s="13">
        <f>'Master Cleaned Data Pipeline'!A39</f>
        <v/>
      </c>
      <c r="B44" s="13">
        <f>'Master Cleaned Data Pipeline'!B39</f>
        <v/>
      </c>
      <c r="C44" s="14">
        <f>'Master Cleaned Data Pipeline'!I39</f>
        <v/>
      </c>
      <c r="D44" s="14">
        <f>'Master Cleaned Data Pipeline'!F39</f>
        <v/>
      </c>
      <c r="E44" s="15">
        <f>'Master Cleaned Data Pipeline'!G39</f>
        <v/>
      </c>
      <c r="F44" s="13">
        <f>IF(E44&gt;'Stats &amp; 3-Sigma Control Bounds'!$C$21, "🚨 ANOMALY SPIKE", IF(E44&lt;0, "💳 CREDIT", "NORMAL"))</f>
        <v/>
      </c>
      <c r="G44" s="16">
        <f>(E44-'Stats &amp; 3-Sigma Control Bounds'!$C$6)/'Stats &amp; 3-Sigma Control Bounds'!$C$9</f>
        <v/>
      </c>
      <c r="H44" s="14">
        <f>IF(F44="🚨 ANOMALY SPIKE", "IMMEDIATE ESCALATION TO ENGINEERING", IF(F44="💳 CREDIT", "AUDIT CREDIT ALLOCATION", "APPROVED USAGE"))</f>
        <v/>
      </c>
    </row>
    <row r="45">
      <c r="A45" s="13">
        <f>'Master Cleaned Data Pipeline'!A40</f>
        <v/>
      </c>
      <c r="B45" s="13">
        <f>'Master Cleaned Data Pipeline'!B40</f>
        <v/>
      </c>
      <c r="C45" s="14">
        <f>'Master Cleaned Data Pipeline'!I40</f>
        <v/>
      </c>
      <c r="D45" s="14">
        <f>'Master Cleaned Data Pipeline'!F40</f>
        <v/>
      </c>
      <c r="E45" s="15">
        <f>'Master Cleaned Data Pipeline'!G40</f>
        <v/>
      </c>
      <c r="F45" s="13">
        <f>IF(E45&gt;'Stats &amp; 3-Sigma Control Bounds'!$C$21, "🚨 ANOMALY SPIKE", IF(E45&lt;0, "💳 CREDIT", "NORMAL"))</f>
        <v/>
      </c>
      <c r="G45" s="16">
        <f>(E45-'Stats &amp; 3-Sigma Control Bounds'!$C$6)/'Stats &amp; 3-Sigma Control Bounds'!$C$9</f>
        <v/>
      </c>
      <c r="H45" s="14">
        <f>IF(F45="🚨 ANOMALY SPIKE", "IMMEDIATE ESCALATION TO ENGINEERING", IF(F45="💳 CREDIT", "AUDIT CREDIT ALLOCATION", "APPROVED USAGE"))</f>
        <v/>
      </c>
    </row>
    <row r="46">
      <c r="A46" s="13">
        <f>'Master Cleaned Data Pipeline'!A41</f>
        <v/>
      </c>
      <c r="B46" s="13">
        <f>'Master Cleaned Data Pipeline'!B41</f>
        <v/>
      </c>
      <c r="C46" s="14">
        <f>'Master Cleaned Data Pipeline'!I41</f>
        <v/>
      </c>
      <c r="D46" s="14">
        <f>'Master Cleaned Data Pipeline'!F41</f>
        <v/>
      </c>
      <c r="E46" s="15">
        <f>'Master Cleaned Data Pipeline'!G41</f>
        <v/>
      </c>
      <c r="F46" s="13">
        <f>IF(E46&gt;'Stats &amp; 3-Sigma Control Bounds'!$C$21, "🚨 ANOMALY SPIKE", IF(E46&lt;0, "💳 CREDIT", "NORMAL"))</f>
        <v/>
      </c>
      <c r="G46" s="16">
        <f>(E46-'Stats &amp; 3-Sigma Control Bounds'!$C$6)/'Stats &amp; 3-Sigma Control Bounds'!$C$9</f>
        <v/>
      </c>
      <c r="H46" s="14">
        <f>IF(F46="🚨 ANOMALY SPIKE", "IMMEDIATE ESCALATION TO ENGINEERING", IF(F46="💳 CREDIT", "AUDIT CREDIT ALLOCATION", "APPROVED USAGE"))</f>
        <v/>
      </c>
    </row>
    <row r="47">
      <c r="A47" s="13">
        <f>'Master Cleaned Data Pipeline'!A42</f>
        <v/>
      </c>
      <c r="B47" s="13">
        <f>'Master Cleaned Data Pipeline'!B42</f>
        <v/>
      </c>
      <c r="C47" s="14">
        <f>'Master Cleaned Data Pipeline'!I42</f>
        <v/>
      </c>
      <c r="D47" s="14">
        <f>'Master Cleaned Data Pipeline'!F42</f>
        <v/>
      </c>
      <c r="E47" s="15">
        <f>'Master Cleaned Data Pipeline'!G42</f>
        <v/>
      </c>
      <c r="F47" s="13">
        <f>IF(E47&gt;'Stats &amp; 3-Sigma Control Bounds'!$C$21, "🚨 ANOMALY SPIKE", IF(E47&lt;0, "💳 CREDIT", "NORMAL"))</f>
        <v/>
      </c>
      <c r="G47" s="16">
        <f>(E47-'Stats &amp; 3-Sigma Control Bounds'!$C$6)/'Stats &amp; 3-Sigma Control Bounds'!$C$9</f>
        <v/>
      </c>
      <c r="H47" s="14">
        <f>IF(F47="🚨 ANOMALY SPIKE", "IMMEDIATE ESCALATION TO ENGINEERING", IF(F47="💳 CREDIT", "AUDIT CREDIT ALLOCATION", "APPROVED USAGE"))</f>
        <v/>
      </c>
    </row>
    <row r="48">
      <c r="A48" s="13">
        <f>'Master Cleaned Data Pipeline'!A43</f>
        <v/>
      </c>
      <c r="B48" s="13">
        <f>'Master Cleaned Data Pipeline'!B43</f>
        <v/>
      </c>
      <c r="C48" s="14">
        <f>'Master Cleaned Data Pipeline'!I43</f>
        <v/>
      </c>
      <c r="D48" s="14">
        <f>'Master Cleaned Data Pipeline'!F43</f>
        <v/>
      </c>
      <c r="E48" s="15">
        <f>'Master Cleaned Data Pipeline'!G43</f>
        <v/>
      </c>
      <c r="F48" s="13">
        <f>IF(E48&gt;'Stats &amp; 3-Sigma Control Bounds'!$C$21, "🚨 ANOMALY SPIKE", IF(E48&lt;0, "💳 CREDIT", "NORMAL"))</f>
        <v/>
      </c>
      <c r="G48" s="16">
        <f>(E48-'Stats &amp; 3-Sigma Control Bounds'!$C$6)/'Stats &amp; 3-Sigma Control Bounds'!$C$9</f>
        <v/>
      </c>
      <c r="H48" s="14">
        <f>IF(F48="🚨 ANOMALY SPIKE", "IMMEDIATE ESCALATION TO ENGINEERING", IF(F48="💳 CREDIT", "AUDIT CREDIT ALLOCATION", "APPROVED USAGE"))</f>
        <v/>
      </c>
    </row>
    <row r="49">
      <c r="A49" s="13">
        <f>'Master Cleaned Data Pipeline'!A44</f>
        <v/>
      </c>
      <c r="B49" s="13">
        <f>'Master Cleaned Data Pipeline'!B44</f>
        <v/>
      </c>
      <c r="C49" s="14">
        <f>'Master Cleaned Data Pipeline'!I44</f>
        <v/>
      </c>
      <c r="D49" s="14">
        <f>'Master Cleaned Data Pipeline'!F44</f>
        <v/>
      </c>
      <c r="E49" s="15">
        <f>'Master Cleaned Data Pipeline'!G44</f>
        <v/>
      </c>
      <c r="F49" s="13">
        <f>IF(E49&gt;'Stats &amp; 3-Sigma Control Bounds'!$C$21, "🚨 ANOMALY SPIKE", IF(E49&lt;0, "💳 CREDIT", "NORMAL"))</f>
        <v/>
      </c>
      <c r="G49" s="16">
        <f>(E49-'Stats &amp; 3-Sigma Control Bounds'!$C$6)/'Stats &amp; 3-Sigma Control Bounds'!$C$9</f>
        <v/>
      </c>
      <c r="H49" s="14">
        <f>IF(F49="🚨 ANOMALY SPIKE", "IMMEDIATE ESCALATION TO ENGINEERING", IF(F49="💳 CREDIT", "AUDIT CREDIT ALLOCATION", "APPROVED USAGE"))</f>
        <v/>
      </c>
    </row>
    <row r="50">
      <c r="A50" s="13">
        <f>'Master Cleaned Data Pipeline'!A45</f>
        <v/>
      </c>
      <c r="B50" s="13">
        <f>'Master Cleaned Data Pipeline'!B45</f>
        <v/>
      </c>
      <c r="C50" s="14">
        <f>'Master Cleaned Data Pipeline'!I45</f>
        <v/>
      </c>
      <c r="D50" s="14">
        <f>'Master Cleaned Data Pipeline'!F45</f>
        <v/>
      </c>
      <c r="E50" s="15">
        <f>'Master Cleaned Data Pipeline'!G45</f>
        <v/>
      </c>
      <c r="F50" s="13">
        <f>IF(E50&gt;'Stats &amp; 3-Sigma Control Bounds'!$C$21, "🚨 ANOMALY SPIKE", IF(E50&lt;0, "💳 CREDIT", "NORMAL"))</f>
        <v/>
      </c>
      <c r="G50" s="16">
        <f>(E50-'Stats &amp; 3-Sigma Control Bounds'!$C$6)/'Stats &amp; 3-Sigma Control Bounds'!$C$9</f>
        <v/>
      </c>
      <c r="H50" s="14">
        <f>IF(F50="🚨 ANOMALY SPIKE", "IMMEDIATE ESCALATION TO ENGINEERING", IF(F50="💳 CREDIT", "AUDIT CREDIT ALLOCATION", "APPROVED USAGE"))</f>
        <v/>
      </c>
    </row>
    <row r="51">
      <c r="A51" s="13">
        <f>'Master Cleaned Data Pipeline'!A46</f>
        <v/>
      </c>
      <c r="B51" s="13">
        <f>'Master Cleaned Data Pipeline'!B46</f>
        <v/>
      </c>
      <c r="C51" s="14">
        <f>'Master Cleaned Data Pipeline'!I46</f>
        <v/>
      </c>
      <c r="D51" s="14">
        <f>'Master Cleaned Data Pipeline'!F46</f>
        <v/>
      </c>
      <c r="E51" s="15">
        <f>'Master Cleaned Data Pipeline'!G46</f>
        <v/>
      </c>
      <c r="F51" s="13">
        <f>IF(E51&gt;'Stats &amp; 3-Sigma Control Bounds'!$C$21, "🚨 ANOMALY SPIKE", IF(E51&lt;0, "💳 CREDIT", "NORMAL"))</f>
        <v/>
      </c>
      <c r="G51" s="16">
        <f>(E51-'Stats &amp; 3-Sigma Control Bounds'!$C$6)/'Stats &amp; 3-Sigma Control Bounds'!$C$9</f>
        <v/>
      </c>
      <c r="H51" s="14">
        <f>IF(F51="🚨 ANOMALY SPIKE", "IMMEDIATE ESCALATION TO ENGINEERING", IF(F51="💳 CREDIT", "AUDIT CREDIT ALLOCATION", "APPROVED USAGE"))</f>
        <v/>
      </c>
    </row>
    <row r="52">
      <c r="A52" s="13">
        <f>'Master Cleaned Data Pipeline'!A47</f>
        <v/>
      </c>
      <c r="B52" s="13">
        <f>'Master Cleaned Data Pipeline'!B47</f>
        <v/>
      </c>
      <c r="C52" s="14">
        <f>'Master Cleaned Data Pipeline'!I47</f>
        <v/>
      </c>
      <c r="D52" s="14">
        <f>'Master Cleaned Data Pipeline'!F47</f>
        <v/>
      </c>
      <c r="E52" s="15">
        <f>'Master Cleaned Data Pipeline'!G47</f>
        <v/>
      </c>
      <c r="F52" s="13">
        <f>IF(E52&gt;'Stats &amp; 3-Sigma Control Bounds'!$C$21, "🚨 ANOMALY SPIKE", IF(E52&lt;0, "💳 CREDIT", "NORMAL"))</f>
        <v/>
      </c>
      <c r="G52" s="16">
        <f>(E52-'Stats &amp; 3-Sigma Control Bounds'!$C$6)/'Stats &amp; 3-Sigma Control Bounds'!$C$9</f>
        <v/>
      </c>
      <c r="H52" s="14">
        <f>IF(F52="🚨 ANOMALY SPIKE", "IMMEDIATE ESCALATION TO ENGINEERING", IF(F52="💳 CREDIT", "AUDIT CREDIT ALLOCATION", "APPROVED USAGE"))</f>
        <v/>
      </c>
    </row>
    <row r="53">
      <c r="A53" s="13">
        <f>'Master Cleaned Data Pipeline'!A48</f>
        <v/>
      </c>
      <c r="B53" s="13">
        <f>'Master Cleaned Data Pipeline'!B48</f>
        <v/>
      </c>
      <c r="C53" s="14">
        <f>'Master Cleaned Data Pipeline'!I48</f>
        <v/>
      </c>
      <c r="D53" s="14">
        <f>'Master Cleaned Data Pipeline'!F48</f>
        <v/>
      </c>
      <c r="E53" s="15">
        <f>'Master Cleaned Data Pipeline'!G48</f>
        <v/>
      </c>
      <c r="F53" s="13">
        <f>IF(E53&gt;'Stats &amp; 3-Sigma Control Bounds'!$C$21, "🚨 ANOMALY SPIKE", IF(E53&lt;0, "💳 CREDIT", "NORMAL"))</f>
        <v/>
      </c>
      <c r="G53" s="16">
        <f>(E53-'Stats &amp; 3-Sigma Control Bounds'!$C$6)/'Stats &amp; 3-Sigma Control Bounds'!$C$9</f>
        <v/>
      </c>
      <c r="H53" s="14">
        <f>IF(F53="🚨 ANOMALY SPIKE", "IMMEDIATE ESCALATION TO ENGINEERING", IF(F53="💳 CREDIT", "AUDIT CREDIT ALLOCATION", "APPROVED USAGE"))</f>
        <v/>
      </c>
    </row>
    <row r="54">
      <c r="A54" s="13">
        <f>'Master Cleaned Data Pipeline'!A49</f>
        <v/>
      </c>
      <c r="B54" s="13">
        <f>'Master Cleaned Data Pipeline'!B49</f>
        <v/>
      </c>
      <c r="C54" s="14">
        <f>'Master Cleaned Data Pipeline'!I49</f>
        <v/>
      </c>
      <c r="D54" s="14">
        <f>'Master Cleaned Data Pipeline'!F49</f>
        <v/>
      </c>
      <c r="E54" s="15">
        <f>'Master Cleaned Data Pipeline'!G49</f>
        <v/>
      </c>
      <c r="F54" s="13">
        <f>IF(E54&gt;'Stats &amp; 3-Sigma Control Bounds'!$C$21, "🚨 ANOMALY SPIKE", IF(E54&lt;0, "💳 CREDIT", "NORMAL"))</f>
        <v/>
      </c>
      <c r="G54" s="16">
        <f>(E54-'Stats &amp; 3-Sigma Control Bounds'!$C$6)/'Stats &amp; 3-Sigma Control Bounds'!$C$9</f>
        <v/>
      </c>
      <c r="H54" s="14">
        <f>IF(F54="🚨 ANOMALY SPIKE", "IMMEDIATE ESCALATION TO ENGINEERING", IF(F54="💳 CREDIT", "AUDIT CREDIT ALLOCATION", "APPROVED USAGE"))</f>
        <v/>
      </c>
    </row>
    <row r="55">
      <c r="A55" s="13">
        <f>'Master Cleaned Data Pipeline'!A50</f>
        <v/>
      </c>
      <c r="B55" s="13">
        <f>'Master Cleaned Data Pipeline'!B50</f>
        <v/>
      </c>
      <c r="C55" s="14">
        <f>'Master Cleaned Data Pipeline'!I50</f>
        <v/>
      </c>
      <c r="D55" s="14">
        <f>'Master Cleaned Data Pipeline'!F50</f>
        <v/>
      </c>
      <c r="E55" s="15">
        <f>'Master Cleaned Data Pipeline'!G50</f>
        <v/>
      </c>
      <c r="F55" s="13">
        <f>IF(E55&gt;'Stats &amp; 3-Sigma Control Bounds'!$C$21, "🚨 ANOMALY SPIKE", IF(E55&lt;0, "💳 CREDIT", "NORMAL"))</f>
        <v/>
      </c>
      <c r="G55" s="16">
        <f>(E55-'Stats &amp; 3-Sigma Control Bounds'!$C$6)/'Stats &amp; 3-Sigma Control Bounds'!$C$9</f>
        <v/>
      </c>
      <c r="H55" s="14">
        <f>IF(F55="🚨 ANOMALY SPIKE", "IMMEDIATE ESCALATION TO ENGINEERING", IF(F55="💳 CREDIT", "AUDIT CREDIT ALLOCATION", "APPROVED USAGE"))</f>
        <v/>
      </c>
    </row>
    <row r="56">
      <c r="A56" s="13">
        <f>'Master Cleaned Data Pipeline'!A51</f>
        <v/>
      </c>
      <c r="B56" s="13">
        <f>'Master Cleaned Data Pipeline'!B51</f>
        <v/>
      </c>
      <c r="C56" s="14">
        <f>'Master Cleaned Data Pipeline'!I51</f>
        <v/>
      </c>
      <c r="D56" s="14">
        <f>'Master Cleaned Data Pipeline'!F51</f>
        <v/>
      </c>
      <c r="E56" s="15">
        <f>'Master Cleaned Data Pipeline'!G51</f>
        <v/>
      </c>
      <c r="F56" s="13">
        <f>IF(E56&gt;'Stats &amp; 3-Sigma Control Bounds'!$C$21, "🚨 ANOMALY SPIKE", IF(E56&lt;0, "💳 CREDIT", "NORMAL"))</f>
        <v/>
      </c>
      <c r="G56" s="16">
        <f>(E56-'Stats &amp; 3-Sigma Control Bounds'!$C$6)/'Stats &amp; 3-Sigma Control Bounds'!$C$9</f>
        <v/>
      </c>
      <c r="H56" s="14">
        <f>IF(F56="🚨 ANOMALY SPIKE", "IMMEDIATE ESCALATION TO ENGINEERING", IF(F56="💳 CREDIT", "AUDIT CREDIT ALLOCATION", "APPROVED USAGE"))</f>
        <v/>
      </c>
    </row>
    <row r="57">
      <c r="A57" s="13">
        <f>'Master Cleaned Data Pipeline'!A52</f>
        <v/>
      </c>
      <c r="B57" s="13">
        <f>'Master Cleaned Data Pipeline'!B52</f>
        <v/>
      </c>
      <c r="C57" s="14">
        <f>'Master Cleaned Data Pipeline'!I52</f>
        <v/>
      </c>
      <c r="D57" s="14">
        <f>'Master Cleaned Data Pipeline'!F52</f>
        <v/>
      </c>
      <c r="E57" s="15">
        <f>'Master Cleaned Data Pipeline'!G52</f>
        <v/>
      </c>
      <c r="F57" s="13">
        <f>IF(E57&gt;'Stats &amp; 3-Sigma Control Bounds'!$C$21, "🚨 ANOMALY SPIKE", IF(E57&lt;0, "💳 CREDIT", "NORMAL"))</f>
        <v/>
      </c>
      <c r="G57" s="16">
        <f>(E57-'Stats &amp; 3-Sigma Control Bounds'!$C$6)/'Stats &amp; 3-Sigma Control Bounds'!$C$9</f>
        <v/>
      </c>
      <c r="H57" s="14">
        <f>IF(F57="🚨 ANOMALY SPIKE", "IMMEDIATE ESCALATION TO ENGINEERING", IF(F57="💳 CREDIT", "AUDIT CREDIT ALLOCATION", "APPROVED USAGE"))</f>
        <v/>
      </c>
    </row>
    <row r="58">
      <c r="A58" s="13">
        <f>'Master Cleaned Data Pipeline'!A53</f>
        <v/>
      </c>
      <c r="B58" s="13">
        <f>'Master Cleaned Data Pipeline'!B53</f>
        <v/>
      </c>
      <c r="C58" s="14">
        <f>'Master Cleaned Data Pipeline'!I53</f>
        <v/>
      </c>
      <c r="D58" s="14">
        <f>'Master Cleaned Data Pipeline'!F53</f>
        <v/>
      </c>
      <c r="E58" s="15">
        <f>'Master Cleaned Data Pipeline'!G53</f>
        <v/>
      </c>
      <c r="F58" s="13">
        <f>IF(E58&gt;'Stats &amp; 3-Sigma Control Bounds'!$C$21, "🚨 ANOMALY SPIKE", IF(E58&lt;0, "💳 CREDIT", "NORMAL"))</f>
        <v/>
      </c>
      <c r="G58" s="16">
        <f>(E58-'Stats &amp; 3-Sigma Control Bounds'!$C$6)/'Stats &amp; 3-Sigma Control Bounds'!$C$9</f>
        <v/>
      </c>
      <c r="H58" s="14">
        <f>IF(F58="🚨 ANOMALY SPIKE", "IMMEDIATE ESCALATION TO ENGINEERING", IF(F58="💳 CREDIT", "AUDIT CREDIT ALLOCATION", "APPROVED USAGE"))</f>
        <v/>
      </c>
    </row>
    <row r="59">
      <c r="A59" s="13">
        <f>'Master Cleaned Data Pipeline'!A54</f>
        <v/>
      </c>
      <c r="B59" s="13">
        <f>'Master Cleaned Data Pipeline'!B54</f>
        <v/>
      </c>
      <c r="C59" s="14">
        <f>'Master Cleaned Data Pipeline'!I54</f>
        <v/>
      </c>
      <c r="D59" s="14">
        <f>'Master Cleaned Data Pipeline'!F54</f>
        <v/>
      </c>
      <c r="E59" s="15">
        <f>'Master Cleaned Data Pipeline'!G54</f>
        <v/>
      </c>
      <c r="F59" s="13">
        <f>IF(E59&gt;'Stats &amp; 3-Sigma Control Bounds'!$C$21, "🚨 ANOMALY SPIKE", IF(E59&lt;0, "💳 CREDIT", "NORMAL"))</f>
        <v/>
      </c>
      <c r="G59" s="16">
        <f>(E59-'Stats &amp; 3-Sigma Control Bounds'!$C$6)/'Stats &amp; 3-Sigma Control Bounds'!$C$9</f>
        <v/>
      </c>
      <c r="H59" s="14">
        <f>IF(F59="🚨 ANOMALY SPIKE", "IMMEDIATE ESCALATION TO ENGINEERING", IF(F59="💳 CREDIT", "AUDIT CREDIT ALLOCATION", "APPROVED USAGE"))</f>
        <v/>
      </c>
    </row>
    <row r="60">
      <c r="A60" s="13">
        <f>'Master Cleaned Data Pipeline'!A55</f>
        <v/>
      </c>
      <c r="B60" s="13">
        <f>'Master Cleaned Data Pipeline'!B55</f>
        <v/>
      </c>
      <c r="C60" s="14">
        <f>'Master Cleaned Data Pipeline'!I55</f>
        <v/>
      </c>
      <c r="D60" s="14">
        <f>'Master Cleaned Data Pipeline'!F55</f>
        <v/>
      </c>
      <c r="E60" s="15">
        <f>'Master Cleaned Data Pipeline'!G55</f>
        <v/>
      </c>
      <c r="F60" s="13">
        <f>IF(E60&gt;'Stats &amp; 3-Sigma Control Bounds'!$C$21, "🚨 ANOMALY SPIKE", IF(E60&lt;0, "💳 CREDIT", "NORMAL"))</f>
        <v/>
      </c>
      <c r="G60" s="16">
        <f>(E60-'Stats &amp; 3-Sigma Control Bounds'!$C$6)/'Stats &amp; 3-Sigma Control Bounds'!$C$9</f>
        <v/>
      </c>
      <c r="H60" s="14">
        <f>IF(F60="🚨 ANOMALY SPIKE", "IMMEDIATE ESCALATION TO ENGINEERING", IF(F60="💳 CREDIT", "AUDIT CREDIT ALLOCATION", "APPROVED USAGE"))</f>
        <v/>
      </c>
    </row>
    <row r="61">
      <c r="A61" s="13">
        <f>'Master Cleaned Data Pipeline'!A56</f>
        <v/>
      </c>
      <c r="B61" s="13">
        <f>'Master Cleaned Data Pipeline'!B56</f>
        <v/>
      </c>
      <c r="C61" s="14">
        <f>'Master Cleaned Data Pipeline'!I56</f>
        <v/>
      </c>
      <c r="D61" s="14">
        <f>'Master Cleaned Data Pipeline'!F56</f>
        <v/>
      </c>
      <c r="E61" s="15">
        <f>'Master Cleaned Data Pipeline'!G56</f>
        <v/>
      </c>
      <c r="F61" s="13">
        <f>IF(E61&gt;'Stats &amp; 3-Sigma Control Bounds'!$C$21, "🚨 ANOMALY SPIKE", IF(E61&lt;0, "💳 CREDIT", "NORMAL"))</f>
        <v/>
      </c>
      <c r="G61" s="16">
        <f>(E61-'Stats &amp; 3-Sigma Control Bounds'!$C$6)/'Stats &amp; 3-Sigma Control Bounds'!$C$9</f>
        <v/>
      </c>
      <c r="H61" s="14">
        <f>IF(F61="🚨 ANOMALY SPIKE", "IMMEDIATE ESCALATION TO ENGINEERING", IF(F61="💳 CREDIT", "AUDIT CREDIT ALLOCATION", "APPROVED USAGE"))</f>
        <v/>
      </c>
    </row>
    <row r="62">
      <c r="A62" s="13">
        <f>'Master Cleaned Data Pipeline'!A57</f>
        <v/>
      </c>
      <c r="B62" s="13">
        <f>'Master Cleaned Data Pipeline'!B57</f>
        <v/>
      </c>
      <c r="C62" s="14">
        <f>'Master Cleaned Data Pipeline'!I57</f>
        <v/>
      </c>
      <c r="D62" s="14">
        <f>'Master Cleaned Data Pipeline'!F57</f>
        <v/>
      </c>
      <c r="E62" s="15">
        <f>'Master Cleaned Data Pipeline'!G57</f>
        <v/>
      </c>
      <c r="F62" s="13">
        <f>IF(E62&gt;'Stats &amp; 3-Sigma Control Bounds'!$C$21, "🚨 ANOMALY SPIKE", IF(E62&lt;0, "💳 CREDIT", "NORMAL"))</f>
        <v/>
      </c>
      <c r="G62" s="16">
        <f>(E62-'Stats &amp; 3-Sigma Control Bounds'!$C$6)/'Stats &amp; 3-Sigma Control Bounds'!$C$9</f>
        <v/>
      </c>
      <c r="H62" s="14">
        <f>IF(F62="🚨 ANOMALY SPIKE", "IMMEDIATE ESCALATION TO ENGINEERING", IF(F62="💳 CREDIT", "AUDIT CREDIT ALLOCATION", "APPROVED USAGE"))</f>
        <v/>
      </c>
    </row>
    <row r="63">
      <c r="A63" s="13">
        <f>'Master Cleaned Data Pipeline'!A58</f>
        <v/>
      </c>
      <c r="B63" s="13">
        <f>'Master Cleaned Data Pipeline'!B58</f>
        <v/>
      </c>
      <c r="C63" s="14">
        <f>'Master Cleaned Data Pipeline'!I58</f>
        <v/>
      </c>
      <c r="D63" s="14">
        <f>'Master Cleaned Data Pipeline'!F58</f>
        <v/>
      </c>
      <c r="E63" s="15">
        <f>'Master Cleaned Data Pipeline'!G58</f>
        <v/>
      </c>
      <c r="F63" s="13">
        <f>IF(E63&gt;'Stats &amp; 3-Sigma Control Bounds'!$C$21, "🚨 ANOMALY SPIKE", IF(E63&lt;0, "💳 CREDIT", "NORMAL"))</f>
        <v/>
      </c>
      <c r="G63" s="16">
        <f>(E63-'Stats &amp; 3-Sigma Control Bounds'!$C$6)/'Stats &amp; 3-Sigma Control Bounds'!$C$9</f>
        <v/>
      </c>
      <c r="H63" s="14">
        <f>IF(F63="🚨 ANOMALY SPIKE", "IMMEDIATE ESCALATION TO ENGINEERING", IF(F63="💳 CREDIT", "AUDIT CREDIT ALLOCATION", "APPROVED USAGE"))</f>
        <v/>
      </c>
    </row>
    <row r="64">
      <c r="A64" s="13">
        <f>'Master Cleaned Data Pipeline'!A59</f>
        <v/>
      </c>
      <c r="B64" s="13">
        <f>'Master Cleaned Data Pipeline'!B59</f>
        <v/>
      </c>
      <c r="C64" s="14">
        <f>'Master Cleaned Data Pipeline'!I59</f>
        <v/>
      </c>
      <c r="D64" s="14">
        <f>'Master Cleaned Data Pipeline'!F59</f>
        <v/>
      </c>
      <c r="E64" s="15">
        <f>'Master Cleaned Data Pipeline'!G59</f>
        <v/>
      </c>
      <c r="F64" s="13">
        <f>IF(E64&gt;'Stats &amp; 3-Sigma Control Bounds'!$C$21, "🚨 ANOMALY SPIKE", IF(E64&lt;0, "💳 CREDIT", "NORMAL"))</f>
        <v/>
      </c>
      <c r="G64" s="16">
        <f>(E64-'Stats &amp; 3-Sigma Control Bounds'!$C$6)/'Stats &amp; 3-Sigma Control Bounds'!$C$9</f>
        <v/>
      </c>
      <c r="H64" s="14">
        <f>IF(F64="🚨 ANOMALY SPIKE", "IMMEDIATE ESCALATION TO ENGINEERING", IF(F64="💳 CREDIT", "AUDIT CREDIT ALLOCATION", "APPROVED USAGE"))</f>
        <v/>
      </c>
    </row>
    <row r="65">
      <c r="A65" s="13">
        <f>'Master Cleaned Data Pipeline'!A60</f>
        <v/>
      </c>
      <c r="B65" s="13">
        <f>'Master Cleaned Data Pipeline'!B60</f>
        <v/>
      </c>
      <c r="C65" s="14">
        <f>'Master Cleaned Data Pipeline'!I60</f>
        <v/>
      </c>
      <c r="D65" s="14">
        <f>'Master Cleaned Data Pipeline'!F60</f>
        <v/>
      </c>
      <c r="E65" s="15">
        <f>'Master Cleaned Data Pipeline'!G60</f>
        <v/>
      </c>
      <c r="F65" s="13">
        <f>IF(E65&gt;'Stats &amp; 3-Sigma Control Bounds'!$C$21, "🚨 ANOMALY SPIKE", IF(E65&lt;0, "💳 CREDIT", "NORMAL"))</f>
        <v/>
      </c>
      <c r="G65" s="16">
        <f>(E65-'Stats &amp; 3-Sigma Control Bounds'!$C$6)/'Stats &amp; 3-Sigma Control Bounds'!$C$9</f>
        <v/>
      </c>
      <c r="H65" s="14">
        <f>IF(F65="🚨 ANOMALY SPIKE", "IMMEDIATE ESCALATION TO ENGINEERING", IF(F65="💳 CREDIT", "AUDIT CREDIT ALLOCATION", "APPROVED USAGE"))</f>
        <v/>
      </c>
    </row>
    <row r="66">
      <c r="A66" s="13">
        <f>'Master Cleaned Data Pipeline'!A61</f>
        <v/>
      </c>
      <c r="B66" s="13">
        <f>'Master Cleaned Data Pipeline'!B61</f>
        <v/>
      </c>
      <c r="C66" s="14">
        <f>'Master Cleaned Data Pipeline'!I61</f>
        <v/>
      </c>
      <c r="D66" s="14">
        <f>'Master Cleaned Data Pipeline'!F61</f>
        <v/>
      </c>
      <c r="E66" s="15">
        <f>'Master Cleaned Data Pipeline'!G61</f>
        <v/>
      </c>
      <c r="F66" s="13">
        <f>IF(E66&gt;'Stats &amp; 3-Sigma Control Bounds'!$C$21, "🚨 ANOMALY SPIKE", IF(E66&lt;0, "💳 CREDIT", "NORMAL"))</f>
        <v/>
      </c>
      <c r="G66" s="16">
        <f>(E66-'Stats &amp; 3-Sigma Control Bounds'!$C$6)/'Stats &amp; 3-Sigma Control Bounds'!$C$9</f>
        <v/>
      </c>
      <c r="H66" s="14">
        <f>IF(F66="🚨 ANOMALY SPIKE", "IMMEDIATE ESCALATION TO ENGINEERING", IF(F66="💳 CREDIT", "AUDIT CREDIT ALLOCATION", "APPROVED USAGE"))</f>
        <v/>
      </c>
    </row>
    <row r="67">
      <c r="A67" s="13">
        <f>'Master Cleaned Data Pipeline'!A62</f>
        <v/>
      </c>
      <c r="B67" s="13">
        <f>'Master Cleaned Data Pipeline'!B62</f>
        <v/>
      </c>
      <c r="C67" s="14">
        <f>'Master Cleaned Data Pipeline'!I62</f>
        <v/>
      </c>
      <c r="D67" s="14">
        <f>'Master Cleaned Data Pipeline'!F62</f>
        <v/>
      </c>
      <c r="E67" s="15">
        <f>'Master Cleaned Data Pipeline'!G62</f>
        <v/>
      </c>
      <c r="F67" s="13">
        <f>IF(E67&gt;'Stats &amp; 3-Sigma Control Bounds'!$C$21, "🚨 ANOMALY SPIKE", IF(E67&lt;0, "💳 CREDIT", "NORMAL"))</f>
        <v/>
      </c>
      <c r="G67" s="16">
        <f>(E67-'Stats &amp; 3-Sigma Control Bounds'!$C$6)/'Stats &amp; 3-Sigma Control Bounds'!$C$9</f>
        <v/>
      </c>
      <c r="H67" s="14">
        <f>IF(F67="🚨 ANOMALY SPIKE", "IMMEDIATE ESCALATION TO ENGINEERING", IF(F67="💳 CREDIT", "AUDIT CREDIT ALLOCATION", "APPROVED USAGE"))</f>
        <v/>
      </c>
    </row>
    <row r="68">
      <c r="A68" s="13">
        <f>'Master Cleaned Data Pipeline'!A63</f>
        <v/>
      </c>
      <c r="B68" s="13">
        <f>'Master Cleaned Data Pipeline'!B63</f>
        <v/>
      </c>
      <c r="C68" s="14">
        <f>'Master Cleaned Data Pipeline'!I63</f>
        <v/>
      </c>
      <c r="D68" s="14">
        <f>'Master Cleaned Data Pipeline'!F63</f>
        <v/>
      </c>
      <c r="E68" s="15">
        <f>'Master Cleaned Data Pipeline'!G63</f>
        <v/>
      </c>
      <c r="F68" s="13">
        <f>IF(E68&gt;'Stats &amp; 3-Sigma Control Bounds'!$C$21, "🚨 ANOMALY SPIKE", IF(E68&lt;0, "💳 CREDIT", "NORMAL"))</f>
        <v/>
      </c>
      <c r="G68" s="16">
        <f>(E68-'Stats &amp; 3-Sigma Control Bounds'!$C$6)/'Stats &amp; 3-Sigma Control Bounds'!$C$9</f>
        <v/>
      </c>
      <c r="H68" s="14">
        <f>IF(F68="🚨 ANOMALY SPIKE", "IMMEDIATE ESCALATION TO ENGINEERING", IF(F68="💳 CREDIT", "AUDIT CREDIT ALLOCATION", "APPROVED USAGE"))</f>
        <v/>
      </c>
    </row>
    <row r="69">
      <c r="A69" s="13">
        <f>'Master Cleaned Data Pipeline'!A64</f>
        <v/>
      </c>
      <c r="B69" s="13">
        <f>'Master Cleaned Data Pipeline'!B64</f>
        <v/>
      </c>
      <c r="C69" s="14">
        <f>'Master Cleaned Data Pipeline'!I64</f>
        <v/>
      </c>
      <c r="D69" s="14">
        <f>'Master Cleaned Data Pipeline'!F64</f>
        <v/>
      </c>
      <c r="E69" s="15">
        <f>'Master Cleaned Data Pipeline'!G64</f>
        <v/>
      </c>
      <c r="F69" s="13">
        <f>IF(E69&gt;'Stats &amp; 3-Sigma Control Bounds'!$C$21, "🚨 ANOMALY SPIKE", IF(E69&lt;0, "💳 CREDIT", "NORMAL"))</f>
        <v/>
      </c>
      <c r="G69" s="16">
        <f>(E69-'Stats &amp; 3-Sigma Control Bounds'!$C$6)/'Stats &amp; 3-Sigma Control Bounds'!$C$9</f>
        <v/>
      </c>
      <c r="H69" s="14">
        <f>IF(F69="🚨 ANOMALY SPIKE", "IMMEDIATE ESCALATION TO ENGINEERING", IF(F69="💳 CREDIT", "AUDIT CREDIT ALLOCATION", "APPROVED USAGE"))</f>
        <v/>
      </c>
    </row>
    <row r="70">
      <c r="A70" s="13">
        <f>'Master Cleaned Data Pipeline'!A65</f>
        <v/>
      </c>
      <c r="B70" s="13">
        <f>'Master Cleaned Data Pipeline'!B65</f>
        <v/>
      </c>
      <c r="C70" s="14">
        <f>'Master Cleaned Data Pipeline'!I65</f>
        <v/>
      </c>
      <c r="D70" s="14">
        <f>'Master Cleaned Data Pipeline'!F65</f>
        <v/>
      </c>
      <c r="E70" s="15">
        <f>'Master Cleaned Data Pipeline'!G65</f>
        <v/>
      </c>
      <c r="F70" s="13">
        <f>IF(E70&gt;'Stats &amp; 3-Sigma Control Bounds'!$C$21, "🚨 ANOMALY SPIKE", IF(E70&lt;0, "💳 CREDIT", "NORMAL"))</f>
        <v/>
      </c>
      <c r="G70" s="16">
        <f>(E70-'Stats &amp; 3-Sigma Control Bounds'!$C$6)/'Stats &amp; 3-Sigma Control Bounds'!$C$9</f>
        <v/>
      </c>
      <c r="H70" s="14">
        <f>IF(F70="🚨 ANOMALY SPIKE", "IMMEDIATE ESCALATION TO ENGINEERING", IF(F70="💳 CREDIT", "AUDIT CREDIT ALLOCATION", "APPROVED USAGE"))</f>
        <v/>
      </c>
    </row>
    <row r="71">
      <c r="A71" s="13">
        <f>'Master Cleaned Data Pipeline'!A66</f>
        <v/>
      </c>
      <c r="B71" s="13">
        <f>'Master Cleaned Data Pipeline'!B66</f>
        <v/>
      </c>
      <c r="C71" s="14">
        <f>'Master Cleaned Data Pipeline'!I66</f>
        <v/>
      </c>
      <c r="D71" s="14">
        <f>'Master Cleaned Data Pipeline'!F66</f>
        <v/>
      </c>
      <c r="E71" s="15">
        <f>'Master Cleaned Data Pipeline'!G66</f>
        <v/>
      </c>
      <c r="F71" s="13">
        <f>IF(E71&gt;'Stats &amp; 3-Sigma Control Bounds'!$C$21, "🚨 ANOMALY SPIKE", IF(E71&lt;0, "💳 CREDIT", "NORMAL"))</f>
        <v/>
      </c>
      <c r="G71" s="16">
        <f>(E71-'Stats &amp; 3-Sigma Control Bounds'!$C$6)/'Stats &amp; 3-Sigma Control Bounds'!$C$9</f>
        <v/>
      </c>
      <c r="H71" s="14">
        <f>IF(F71="🚨 ANOMALY SPIKE", "IMMEDIATE ESCALATION TO ENGINEERING", IF(F71="💳 CREDIT", "AUDIT CREDIT ALLOCATION", "APPROVED USAGE"))</f>
        <v/>
      </c>
    </row>
    <row r="72">
      <c r="A72" s="13">
        <f>'Master Cleaned Data Pipeline'!A67</f>
        <v/>
      </c>
      <c r="B72" s="13">
        <f>'Master Cleaned Data Pipeline'!B67</f>
        <v/>
      </c>
      <c r="C72" s="14">
        <f>'Master Cleaned Data Pipeline'!I67</f>
        <v/>
      </c>
      <c r="D72" s="14">
        <f>'Master Cleaned Data Pipeline'!F67</f>
        <v/>
      </c>
      <c r="E72" s="15">
        <f>'Master Cleaned Data Pipeline'!G67</f>
        <v/>
      </c>
      <c r="F72" s="13">
        <f>IF(E72&gt;'Stats &amp; 3-Sigma Control Bounds'!$C$21, "🚨 ANOMALY SPIKE", IF(E72&lt;0, "💳 CREDIT", "NORMAL"))</f>
        <v/>
      </c>
      <c r="G72" s="16">
        <f>(E72-'Stats &amp; 3-Sigma Control Bounds'!$C$6)/'Stats &amp; 3-Sigma Control Bounds'!$C$9</f>
        <v/>
      </c>
      <c r="H72" s="14">
        <f>IF(F72="🚨 ANOMALY SPIKE", "IMMEDIATE ESCALATION TO ENGINEERING", IF(F72="💳 CREDIT", "AUDIT CREDIT ALLOCATION", "APPROVED USAGE"))</f>
        <v/>
      </c>
    </row>
    <row r="73">
      <c r="A73" s="13">
        <f>'Master Cleaned Data Pipeline'!A68</f>
        <v/>
      </c>
      <c r="B73" s="13">
        <f>'Master Cleaned Data Pipeline'!B68</f>
        <v/>
      </c>
      <c r="C73" s="14">
        <f>'Master Cleaned Data Pipeline'!I68</f>
        <v/>
      </c>
      <c r="D73" s="14">
        <f>'Master Cleaned Data Pipeline'!F68</f>
        <v/>
      </c>
      <c r="E73" s="15">
        <f>'Master Cleaned Data Pipeline'!G68</f>
        <v/>
      </c>
      <c r="F73" s="13">
        <f>IF(E73&gt;'Stats &amp; 3-Sigma Control Bounds'!$C$21, "🚨 ANOMALY SPIKE", IF(E73&lt;0, "💳 CREDIT", "NORMAL"))</f>
        <v/>
      </c>
      <c r="G73" s="16">
        <f>(E73-'Stats &amp; 3-Sigma Control Bounds'!$C$6)/'Stats &amp; 3-Sigma Control Bounds'!$C$9</f>
        <v/>
      </c>
      <c r="H73" s="14">
        <f>IF(F73="🚨 ANOMALY SPIKE", "IMMEDIATE ESCALATION TO ENGINEERING", IF(F73="💳 CREDIT", "AUDIT CREDIT ALLOCATION", "APPROVED USAGE"))</f>
        <v/>
      </c>
    </row>
    <row r="74">
      <c r="A74" s="13">
        <f>'Master Cleaned Data Pipeline'!A69</f>
        <v/>
      </c>
      <c r="B74" s="13">
        <f>'Master Cleaned Data Pipeline'!B69</f>
        <v/>
      </c>
      <c r="C74" s="14">
        <f>'Master Cleaned Data Pipeline'!I69</f>
        <v/>
      </c>
      <c r="D74" s="14">
        <f>'Master Cleaned Data Pipeline'!F69</f>
        <v/>
      </c>
      <c r="E74" s="15">
        <f>'Master Cleaned Data Pipeline'!G69</f>
        <v/>
      </c>
      <c r="F74" s="13">
        <f>IF(E74&gt;'Stats &amp; 3-Sigma Control Bounds'!$C$21, "🚨 ANOMALY SPIKE", IF(E74&lt;0, "💳 CREDIT", "NORMAL"))</f>
        <v/>
      </c>
      <c r="G74" s="16">
        <f>(E74-'Stats &amp; 3-Sigma Control Bounds'!$C$6)/'Stats &amp; 3-Sigma Control Bounds'!$C$9</f>
        <v/>
      </c>
      <c r="H74" s="14">
        <f>IF(F74="🚨 ANOMALY SPIKE", "IMMEDIATE ESCALATION TO ENGINEERING", IF(F74="💳 CREDIT", "AUDIT CREDIT ALLOCATION", "APPROVED USAGE"))</f>
        <v/>
      </c>
    </row>
    <row r="75">
      <c r="A75" s="13">
        <f>'Master Cleaned Data Pipeline'!A70</f>
        <v/>
      </c>
      <c r="B75" s="13">
        <f>'Master Cleaned Data Pipeline'!B70</f>
        <v/>
      </c>
      <c r="C75" s="14">
        <f>'Master Cleaned Data Pipeline'!I70</f>
        <v/>
      </c>
      <c r="D75" s="14">
        <f>'Master Cleaned Data Pipeline'!F70</f>
        <v/>
      </c>
      <c r="E75" s="15">
        <f>'Master Cleaned Data Pipeline'!G70</f>
        <v/>
      </c>
      <c r="F75" s="13">
        <f>IF(E75&gt;'Stats &amp; 3-Sigma Control Bounds'!$C$21, "🚨 ANOMALY SPIKE", IF(E75&lt;0, "💳 CREDIT", "NORMAL"))</f>
        <v/>
      </c>
      <c r="G75" s="16">
        <f>(E75-'Stats &amp; 3-Sigma Control Bounds'!$C$6)/'Stats &amp; 3-Sigma Control Bounds'!$C$9</f>
        <v/>
      </c>
      <c r="H75" s="14">
        <f>IF(F75="🚨 ANOMALY SPIKE", "IMMEDIATE ESCALATION TO ENGINEERING", IF(F75="💳 CREDIT", "AUDIT CREDIT ALLOCATION", "APPROVED USAGE"))</f>
        <v/>
      </c>
    </row>
    <row r="76">
      <c r="A76" s="13">
        <f>'Master Cleaned Data Pipeline'!A71</f>
        <v/>
      </c>
      <c r="B76" s="13">
        <f>'Master Cleaned Data Pipeline'!B71</f>
        <v/>
      </c>
      <c r="C76" s="14">
        <f>'Master Cleaned Data Pipeline'!I71</f>
        <v/>
      </c>
      <c r="D76" s="14">
        <f>'Master Cleaned Data Pipeline'!F71</f>
        <v/>
      </c>
      <c r="E76" s="15">
        <f>'Master Cleaned Data Pipeline'!G71</f>
        <v/>
      </c>
      <c r="F76" s="13">
        <f>IF(E76&gt;'Stats &amp; 3-Sigma Control Bounds'!$C$21, "🚨 ANOMALY SPIKE", IF(E76&lt;0, "💳 CREDIT", "NORMAL"))</f>
        <v/>
      </c>
      <c r="G76" s="16">
        <f>(E76-'Stats &amp; 3-Sigma Control Bounds'!$C$6)/'Stats &amp; 3-Sigma Control Bounds'!$C$9</f>
        <v/>
      </c>
      <c r="H76" s="14">
        <f>IF(F76="🚨 ANOMALY SPIKE", "IMMEDIATE ESCALATION TO ENGINEERING", IF(F76="💳 CREDIT", "AUDIT CREDIT ALLOCATION", "APPROVED USAGE"))</f>
        <v/>
      </c>
    </row>
    <row r="77">
      <c r="A77" s="13">
        <f>'Master Cleaned Data Pipeline'!A72</f>
        <v/>
      </c>
      <c r="B77" s="13">
        <f>'Master Cleaned Data Pipeline'!B72</f>
        <v/>
      </c>
      <c r="C77" s="14">
        <f>'Master Cleaned Data Pipeline'!I72</f>
        <v/>
      </c>
      <c r="D77" s="14">
        <f>'Master Cleaned Data Pipeline'!F72</f>
        <v/>
      </c>
      <c r="E77" s="15">
        <f>'Master Cleaned Data Pipeline'!G72</f>
        <v/>
      </c>
      <c r="F77" s="13">
        <f>IF(E77&gt;'Stats &amp; 3-Sigma Control Bounds'!$C$21, "🚨 ANOMALY SPIKE", IF(E77&lt;0, "💳 CREDIT", "NORMAL"))</f>
        <v/>
      </c>
      <c r="G77" s="16">
        <f>(E77-'Stats &amp; 3-Sigma Control Bounds'!$C$6)/'Stats &amp; 3-Sigma Control Bounds'!$C$9</f>
        <v/>
      </c>
      <c r="H77" s="14">
        <f>IF(F77="🚨 ANOMALY SPIKE", "IMMEDIATE ESCALATION TO ENGINEERING", IF(F77="💳 CREDIT", "AUDIT CREDIT ALLOCATION", "APPROVED USAGE"))</f>
        <v/>
      </c>
    </row>
    <row r="78">
      <c r="A78" s="13">
        <f>'Master Cleaned Data Pipeline'!A73</f>
        <v/>
      </c>
      <c r="B78" s="13">
        <f>'Master Cleaned Data Pipeline'!B73</f>
        <v/>
      </c>
      <c r="C78" s="14">
        <f>'Master Cleaned Data Pipeline'!I73</f>
        <v/>
      </c>
      <c r="D78" s="14">
        <f>'Master Cleaned Data Pipeline'!F73</f>
        <v/>
      </c>
      <c r="E78" s="15">
        <f>'Master Cleaned Data Pipeline'!G73</f>
        <v/>
      </c>
      <c r="F78" s="13">
        <f>IF(E78&gt;'Stats &amp; 3-Sigma Control Bounds'!$C$21, "🚨 ANOMALY SPIKE", IF(E78&lt;0, "💳 CREDIT", "NORMAL"))</f>
        <v/>
      </c>
      <c r="G78" s="16">
        <f>(E78-'Stats &amp; 3-Sigma Control Bounds'!$C$6)/'Stats &amp; 3-Sigma Control Bounds'!$C$9</f>
        <v/>
      </c>
      <c r="H78" s="14">
        <f>IF(F78="🚨 ANOMALY SPIKE", "IMMEDIATE ESCALATION TO ENGINEERING", IF(F78="💳 CREDIT", "AUDIT CREDIT ALLOCATION", "APPROVED USAGE"))</f>
        <v/>
      </c>
    </row>
    <row r="79">
      <c r="A79" s="13">
        <f>'Master Cleaned Data Pipeline'!A74</f>
        <v/>
      </c>
      <c r="B79" s="13">
        <f>'Master Cleaned Data Pipeline'!B74</f>
        <v/>
      </c>
      <c r="C79" s="14">
        <f>'Master Cleaned Data Pipeline'!I74</f>
        <v/>
      </c>
      <c r="D79" s="14">
        <f>'Master Cleaned Data Pipeline'!F74</f>
        <v/>
      </c>
      <c r="E79" s="15">
        <f>'Master Cleaned Data Pipeline'!G74</f>
        <v/>
      </c>
      <c r="F79" s="13">
        <f>IF(E79&gt;'Stats &amp; 3-Sigma Control Bounds'!$C$21, "🚨 ANOMALY SPIKE", IF(E79&lt;0, "💳 CREDIT", "NORMAL"))</f>
        <v/>
      </c>
      <c r="G79" s="16">
        <f>(E79-'Stats &amp; 3-Sigma Control Bounds'!$C$6)/'Stats &amp; 3-Sigma Control Bounds'!$C$9</f>
        <v/>
      </c>
      <c r="H79" s="14">
        <f>IF(F79="🚨 ANOMALY SPIKE", "IMMEDIATE ESCALATION TO ENGINEERING", IF(F79="💳 CREDIT", "AUDIT CREDIT ALLOCATION", "APPROVED USAGE"))</f>
        <v/>
      </c>
    </row>
    <row r="80">
      <c r="A80" s="13">
        <f>'Master Cleaned Data Pipeline'!A75</f>
        <v/>
      </c>
      <c r="B80" s="13">
        <f>'Master Cleaned Data Pipeline'!B75</f>
        <v/>
      </c>
      <c r="C80" s="14">
        <f>'Master Cleaned Data Pipeline'!I75</f>
        <v/>
      </c>
      <c r="D80" s="14">
        <f>'Master Cleaned Data Pipeline'!F75</f>
        <v/>
      </c>
      <c r="E80" s="15">
        <f>'Master Cleaned Data Pipeline'!G75</f>
        <v/>
      </c>
      <c r="F80" s="13">
        <f>IF(E80&gt;'Stats &amp; 3-Sigma Control Bounds'!$C$21, "🚨 ANOMALY SPIKE", IF(E80&lt;0, "💳 CREDIT", "NORMAL"))</f>
        <v/>
      </c>
      <c r="G80" s="16">
        <f>(E80-'Stats &amp; 3-Sigma Control Bounds'!$C$6)/'Stats &amp; 3-Sigma Control Bounds'!$C$9</f>
        <v/>
      </c>
      <c r="H80" s="14">
        <f>IF(F80="🚨 ANOMALY SPIKE", "IMMEDIATE ESCALATION TO ENGINEERING", IF(F80="💳 CREDIT", "AUDIT CREDIT ALLOCATION", "APPROVED USAGE"))</f>
        <v/>
      </c>
    </row>
    <row r="81">
      <c r="A81" s="13">
        <f>'Master Cleaned Data Pipeline'!A76</f>
        <v/>
      </c>
      <c r="B81" s="13">
        <f>'Master Cleaned Data Pipeline'!B76</f>
        <v/>
      </c>
      <c r="C81" s="14">
        <f>'Master Cleaned Data Pipeline'!I76</f>
        <v/>
      </c>
      <c r="D81" s="14">
        <f>'Master Cleaned Data Pipeline'!F76</f>
        <v/>
      </c>
      <c r="E81" s="15">
        <f>'Master Cleaned Data Pipeline'!G76</f>
        <v/>
      </c>
      <c r="F81" s="13">
        <f>IF(E81&gt;'Stats &amp; 3-Sigma Control Bounds'!$C$21, "🚨 ANOMALY SPIKE", IF(E81&lt;0, "💳 CREDIT", "NORMAL"))</f>
        <v/>
      </c>
      <c r="G81" s="16">
        <f>(E81-'Stats &amp; 3-Sigma Control Bounds'!$C$6)/'Stats &amp; 3-Sigma Control Bounds'!$C$9</f>
        <v/>
      </c>
      <c r="H81" s="14">
        <f>IF(F81="🚨 ANOMALY SPIKE", "IMMEDIATE ESCALATION TO ENGINEERING", IF(F81="💳 CREDIT", "AUDIT CREDIT ALLOCATION", "APPROVED USAGE"))</f>
        <v/>
      </c>
    </row>
    <row r="82">
      <c r="A82" s="13">
        <f>'Master Cleaned Data Pipeline'!A77</f>
        <v/>
      </c>
      <c r="B82" s="13">
        <f>'Master Cleaned Data Pipeline'!B77</f>
        <v/>
      </c>
      <c r="C82" s="14">
        <f>'Master Cleaned Data Pipeline'!I77</f>
        <v/>
      </c>
      <c r="D82" s="14">
        <f>'Master Cleaned Data Pipeline'!F77</f>
        <v/>
      </c>
      <c r="E82" s="15">
        <f>'Master Cleaned Data Pipeline'!G77</f>
        <v/>
      </c>
      <c r="F82" s="13">
        <f>IF(E82&gt;'Stats &amp; 3-Sigma Control Bounds'!$C$21, "🚨 ANOMALY SPIKE", IF(E82&lt;0, "💳 CREDIT", "NORMAL"))</f>
        <v/>
      </c>
      <c r="G82" s="16">
        <f>(E82-'Stats &amp; 3-Sigma Control Bounds'!$C$6)/'Stats &amp; 3-Sigma Control Bounds'!$C$9</f>
        <v/>
      </c>
      <c r="H82" s="14">
        <f>IF(F82="🚨 ANOMALY SPIKE", "IMMEDIATE ESCALATION TO ENGINEERING", IF(F82="💳 CREDIT", "AUDIT CREDIT ALLOCATION", "APPROVED USAGE"))</f>
        <v/>
      </c>
    </row>
    <row r="83">
      <c r="A83" s="13">
        <f>'Master Cleaned Data Pipeline'!A78</f>
        <v/>
      </c>
      <c r="B83" s="13">
        <f>'Master Cleaned Data Pipeline'!B78</f>
        <v/>
      </c>
      <c r="C83" s="14">
        <f>'Master Cleaned Data Pipeline'!I78</f>
        <v/>
      </c>
      <c r="D83" s="14">
        <f>'Master Cleaned Data Pipeline'!F78</f>
        <v/>
      </c>
      <c r="E83" s="15">
        <f>'Master Cleaned Data Pipeline'!G78</f>
        <v/>
      </c>
      <c r="F83" s="13">
        <f>IF(E83&gt;'Stats &amp; 3-Sigma Control Bounds'!$C$21, "🚨 ANOMALY SPIKE", IF(E83&lt;0, "💳 CREDIT", "NORMAL"))</f>
        <v/>
      </c>
      <c r="G83" s="16">
        <f>(E83-'Stats &amp; 3-Sigma Control Bounds'!$C$6)/'Stats &amp; 3-Sigma Control Bounds'!$C$9</f>
        <v/>
      </c>
      <c r="H83" s="14">
        <f>IF(F83="🚨 ANOMALY SPIKE", "IMMEDIATE ESCALATION TO ENGINEERING", IF(F83="💳 CREDIT", "AUDIT CREDIT ALLOCATION", "APPROVED USAGE"))</f>
        <v/>
      </c>
    </row>
    <row r="84">
      <c r="A84" s="13">
        <f>'Master Cleaned Data Pipeline'!A79</f>
        <v/>
      </c>
      <c r="B84" s="13">
        <f>'Master Cleaned Data Pipeline'!B79</f>
        <v/>
      </c>
      <c r="C84" s="14">
        <f>'Master Cleaned Data Pipeline'!I79</f>
        <v/>
      </c>
      <c r="D84" s="14">
        <f>'Master Cleaned Data Pipeline'!F79</f>
        <v/>
      </c>
      <c r="E84" s="15">
        <f>'Master Cleaned Data Pipeline'!G79</f>
        <v/>
      </c>
      <c r="F84" s="13">
        <f>IF(E84&gt;'Stats &amp; 3-Sigma Control Bounds'!$C$21, "🚨 ANOMALY SPIKE", IF(E84&lt;0, "💳 CREDIT", "NORMAL"))</f>
        <v/>
      </c>
      <c r="G84" s="16">
        <f>(E84-'Stats &amp; 3-Sigma Control Bounds'!$C$6)/'Stats &amp; 3-Sigma Control Bounds'!$C$9</f>
        <v/>
      </c>
      <c r="H84" s="14">
        <f>IF(F84="🚨 ANOMALY SPIKE", "IMMEDIATE ESCALATION TO ENGINEERING", IF(F84="💳 CREDIT", "AUDIT CREDIT ALLOCATION", "APPROVED USAGE"))</f>
        <v/>
      </c>
    </row>
    <row r="85">
      <c r="A85" s="13">
        <f>'Master Cleaned Data Pipeline'!A80</f>
        <v/>
      </c>
      <c r="B85" s="13">
        <f>'Master Cleaned Data Pipeline'!B80</f>
        <v/>
      </c>
      <c r="C85" s="14">
        <f>'Master Cleaned Data Pipeline'!I80</f>
        <v/>
      </c>
      <c r="D85" s="14">
        <f>'Master Cleaned Data Pipeline'!F80</f>
        <v/>
      </c>
      <c r="E85" s="15">
        <f>'Master Cleaned Data Pipeline'!G80</f>
        <v/>
      </c>
      <c r="F85" s="13">
        <f>IF(E85&gt;'Stats &amp; 3-Sigma Control Bounds'!$C$21, "🚨 ANOMALY SPIKE", IF(E85&lt;0, "💳 CREDIT", "NORMAL"))</f>
        <v/>
      </c>
      <c r="G85" s="16">
        <f>(E85-'Stats &amp; 3-Sigma Control Bounds'!$C$6)/'Stats &amp; 3-Sigma Control Bounds'!$C$9</f>
        <v/>
      </c>
      <c r="H85" s="14">
        <f>IF(F85="🚨 ANOMALY SPIKE", "IMMEDIATE ESCALATION TO ENGINEERING", IF(F85="💳 CREDIT", "AUDIT CREDIT ALLOCATION", "APPROVED USAGE"))</f>
        <v/>
      </c>
    </row>
    <row r="86">
      <c r="A86" s="13">
        <f>'Master Cleaned Data Pipeline'!A81</f>
        <v/>
      </c>
      <c r="B86" s="13">
        <f>'Master Cleaned Data Pipeline'!B81</f>
        <v/>
      </c>
      <c r="C86" s="14">
        <f>'Master Cleaned Data Pipeline'!I81</f>
        <v/>
      </c>
      <c r="D86" s="14">
        <f>'Master Cleaned Data Pipeline'!F81</f>
        <v/>
      </c>
      <c r="E86" s="15">
        <f>'Master Cleaned Data Pipeline'!G81</f>
        <v/>
      </c>
      <c r="F86" s="13">
        <f>IF(E86&gt;'Stats &amp; 3-Sigma Control Bounds'!$C$21, "🚨 ANOMALY SPIKE", IF(E86&lt;0, "💳 CREDIT", "NORMAL"))</f>
        <v/>
      </c>
      <c r="G86" s="16">
        <f>(E86-'Stats &amp; 3-Sigma Control Bounds'!$C$6)/'Stats &amp; 3-Sigma Control Bounds'!$C$9</f>
        <v/>
      </c>
      <c r="H86" s="14">
        <f>IF(F86="🚨 ANOMALY SPIKE", "IMMEDIATE ESCALATION TO ENGINEERING", IF(F86="💳 CREDIT", "AUDIT CREDIT ALLOCATION", "APPROVED USAGE"))</f>
        <v/>
      </c>
    </row>
    <row r="87">
      <c r="A87" s="13">
        <f>'Master Cleaned Data Pipeline'!A82</f>
        <v/>
      </c>
      <c r="B87" s="13">
        <f>'Master Cleaned Data Pipeline'!B82</f>
        <v/>
      </c>
      <c r="C87" s="14">
        <f>'Master Cleaned Data Pipeline'!I82</f>
        <v/>
      </c>
      <c r="D87" s="14">
        <f>'Master Cleaned Data Pipeline'!F82</f>
        <v/>
      </c>
      <c r="E87" s="15">
        <f>'Master Cleaned Data Pipeline'!G82</f>
        <v/>
      </c>
      <c r="F87" s="13">
        <f>IF(E87&gt;'Stats &amp; 3-Sigma Control Bounds'!$C$21, "🚨 ANOMALY SPIKE", IF(E87&lt;0, "💳 CREDIT", "NORMAL"))</f>
        <v/>
      </c>
      <c r="G87" s="16">
        <f>(E87-'Stats &amp; 3-Sigma Control Bounds'!$C$6)/'Stats &amp; 3-Sigma Control Bounds'!$C$9</f>
        <v/>
      </c>
      <c r="H87" s="14">
        <f>IF(F87="🚨 ANOMALY SPIKE", "IMMEDIATE ESCALATION TO ENGINEERING", IF(F87="💳 CREDIT", "AUDIT CREDIT ALLOCATION", "APPROVED USAGE"))</f>
        <v/>
      </c>
    </row>
    <row r="88">
      <c r="A88" s="13">
        <f>'Master Cleaned Data Pipeline'!A83</f>
        <v/>
      </c>
      <c r="B88" s="13">
        <f>'Master Cleaned Data Pipeline'!B83</f>
        <v/>
      </c>
      <c r="C88" s="14">
        <f>'Master Cleaned Data Pipeline'!I83</f>
        <v/>
      </c>
      <c r="D88" s="14">
        <f>'Master Cleaned Data Pipeline'!F83</f>
        <v/>
      </c>
      <c r="E88" s="15">
        <f>'Master Cleaned Data Pipeline'!G83</f>
        <v/>
      </c>
      <c r="F88" s="13">
        <f>IF(E88&gt;'Stats &amp; 3-Sigma Control Bounds'!$C$21, "🚨 ANOMALY SPIKE", IF(E88&lt;0, "💳 CREDIT", "NORMAL"))</f>
        <v/>
      </c>
      <c r="G88" s="16">
        <f>(E88-'Stats &amp; 3-Sigma Control Bounds'!$C$6)/'Stats &amp; 3-Sigma Control Bounds'!$C$9</f>
        <v/>
      </c>
      <c r="H88" s="14">
        <f>IF(F88="🚨 ANOMALY SPIKE", "IMMEDIATE ESCALATION TO ENGINEERING", IF(F88="💳 CREDIT", "AUDIT CREDIT ALLOCATION", "APPROVED USAGE"))</f>
        <v/>
      </c>
    </row>
    <row r="89">
      <c r="A89" s="13">
        <f>'Master Cleaned Data Pipeline'!A84</f>
        <v/>
      </c>
      <c r="B89" s="13">
        <f>'Master Cleaned Data Pipeline'!B84</f>
        <v/>
      </c>
      <c r="C89" s="14">
        <f>'Master Cleaned Data Pipeline'!I84</f>
        <v/>
      </c>
      <c r="D89" s="14">
        <f>'Master Cleaned Data Pipeline'!F84</f>
        <v/>
      </c>
      <c r="E89" s="15">
        <f>'Master Cleaned Data Pipeline'!G84</f>
        <v/>
      </c>
      <c r="F89" s="13">
        <f>IF(E89&gt;'Stats &amp; 3-Sigma Control Bounds'!$C$21, "🚨 ANOMALY SPIKE", IF(E89&lt;0, "💳 CREDIT", "NORMAL"))</f>
        <v/>
      </c>
      <c r="G89" s="16">
        <f>(E89-'Stats &amp; 3-Sigma Control Bounds'!$C$6)/'Stats &amp; 3-Sigma Control Bounds'!$C$9</f>
        <v/>
      </c>
      <c r="H89" s="14">
        <f>IF(F89="🚨 ANOMALY SPIKE", "IMMEDIATE ESCALATION TO ENGINEERING", IF(F89="💳 CREDIT", "AUDIT CREDIT ALLOCATION", "APPROVED USAGE"))</f>
        <v/>
      </c>
    </row>
    <row r="90">
      <c r="A90" s="13">
        <f>'Master Cleaned Data Pipeline'!A85</f>
        <v/>
      </c>
      <c r="B90" s="13">
        <f>'Master Cleaned Data Pipeline'!B85</f>
        <v/>
      </c>
      <c r="C90" s="14">
        <f>'Master Cleaned Data Pipeline'!I85</f>
        <v/>
      </c>
      <c r="D90" s="14">
        <f>'Master Cleaned Data Pipeline'!F85</f>
        <v/>
      </c>
      <c r="E90" s="15">
        <f>'Master Cleaned Data Pipeline'!G85</f>
        <v/>
      </c>
      <c r="F90" s="13">
        <f>IF(E90&gt;'Stats &amp; 3-Sigma Control Bounds'!$C$21, "🚨 ANOMALY SPIKE", IF(E90&lt;0, "💳 CREDIT", "NORMAL"))</f>
        <v/>
      </c>
      <c r="G90" s="16">
        <f>(E90-'Stats &amp; 3-Sigma Control Bounds'!$C$6)/'Stats &amp; 3-Sigma Control Bounds'!$C$9</f>
        <v/>
      </c>
      <c r="H90" s="14">
        <f>IF(F90="🚨 ANOMALY SPIKE", "IMMEDIATE ESCALATION TO ENGINEERING", IF(F90="💳 CREDIT", "AUDIT CREDIT ALLOCATION", "APPROVED USAGE"))</f>
        <v/>
      </c>
    </row>
    <row r="91">
      <c r="A91" s="13">
        <f>'Master Cleaned Data Pipeline'!A86</f>
        <v/>
      </c>
      <c r="B91" s="13">
        <f>'Master Cleaned Data Pipeline'!B86</f>
        <v/>
      </c>
      <c r="C91" s="14">
        <f>'Master Cleaned Data Pipeline'!I86</f>
        <v/>
      </c>
      <c r="D91" s="14">
        <f>'Master Cleaned Data Pipeline'!F86</f>
        <v/>
      </c>
      <c r="E91" s="15">
        <f>'Master Cleaned Data Pipeline'!G86</f>
        <v/>
      </c>
      <c r="F91" s="13">
        <f>IF(E91&gt;'Stats &amp; 3-Sigma Control Bounds'!$C$21, "🚨 ANOMALY SPIKE", IF(E91&lt;0, "💳 CREDIT", "NORMAL"))</f>
        <v/>
      </c>
      <c r="G91" s="16">
        <f>(E91-'Stats &amp; 3-Sigma Control Bounds'!$C$6)/'Stats &amp; 3-Sigma Control Bounds'!$C$9</f>
        <v/>
      </c>
      <c r="H91" s="14">
        <f>IF(F91="🚨 ANOMALY SPIKE", "IMMEDIATE ESCALATION TO ENGINEERING", IF(F91="💳 CREDIT", "AUDIT CREDIT ALLOCATION", "APPROVED USAGE"))</f>
        <v/>
      </c>
    </row>
    <row r="92">
      <c r="A92" s="13">
        <f>'Master Cleaned Data Pipeline'!A87</f>
        <v/>
      </c>
      <c r="B92" s="13">
        <f>'Master Cleaned Data Pipeline'!B87</f>
        <v/>
      </c>
      <c r="C92" s="14">
        <f>'Master Cleaned Data Pipeline'!I87</f>
        <v/>
      </c>
      <c r="D92" s="14">
        <f>'Master Cleaned Data Pipeline'!F87</f>
        <v/>
      </c>
      <c r="E92" s="15">
        <f>'Master Cleaned Data Pipeline'!G87</f>
        <v/>
      </c>
      <c r="F92" s="13">
        <f>IF(E92&gt;'Stats &amp; 3-Sigma Control Bounds'!$C$21, "🚨 ANOMALY SPIKE", IF(E92&lt;0, "💳 CREDIT", "NORMAL"))</f>
        <v/>
      </c>
      <c r="G92" s="16">
        <f>(E92-'Stats &amp; 3-Sigma Control Bounds'!$C$6)/'Stats &amp; 3-Sigma Control Bounds'!$C$9</f>
        <v/>
      </c>
      <c r="H92" s="14">
        <f>IF(F92="🚨 ANOMALY SPIKE", "IMMEDIATE ESCALATION TO ENGINEERING", IF(F92="💳 CREDIT", "AUDIT CREDIT ALLOCATION", "APPROVED USAGE"))</f>
        <v/>
      </c>
    </row>
    <row r="93">
      <c r="A93" s="13">
        <f>'Master Cleaned Data Pipeline'!A88</f>
        <v/>
      </c>
      <c r="B93" s="13">
        <f>'Master Cleaned Data Pipeline'!B88</f>
        <v/>
      </c>
      <c r="C93" s="14">
        <f>'Master Cleaned Data Pipeline'!I88</f>
        <v/>
      </c>
      <c r="D93" s="14">
        <f>'Master Cleaned Data Pipeline'!F88</f>
        <v/>
      </c>
      <c r="E93" s="15">
        <f>'Master Cleaned Data Pipeline'!G88</f>
        <v/>
      </c>
      <c r="F93" s="13">
        <f>IF(E93&gt;'Stats &amp; 3-Sigma Control Bounds'!$C$21, "🚨 ANOMALY SPIKE", IF(E93&lt;0, "💳 CREDIT", "NORMAL"))</f>
        <v/>
      </c>
      <c r="G93" s="16">
        <f>(E93-'Stats &amp; 3-Sigma Control Bounds'!$C$6)/'Stats &amp; 3-Sigma Control Bounds'!$C$9</f>
        <v/>
      </c>
      <c r="H93" s="14">
        <f>IF(F93="🚨 ANOMALY SPIKE", "IMMEDIATE ESCALATION TO ENGINEERING", IF(F93="💳 CREDIT", "AUDIT CREDIT ALLOCATION", "APPROVED USAGE"))</f>
        <v/>
      </c>
    </row>
    <row r="94">
      <c r="A94" s="13">
        <f>'Master Cleaned Data Pipeline'!A89</f>
        <v/>
      </c>
      <c r="B94" s="13">
        <f>'Master Cleaned Data Pipeline'!B89</f>
        <v/>
      </c>
      <c r="C94" s="14">
        <f>'Master Cleaned Data Pipeline'!I89</f>
        <v/>
      </c>
      <c r="D94" s="14">
        <f>'Master Cleaned Data Pipeline'!F89</f>
        <v/>
      </c>
      <c r="E94" s="15">
        <f>'Master Cleaned Data Pipeline'!G89</f>
        <v/>
      </c>
      <c r="F94" s="13">
        <f>IF(E94&gt;'Stats &amp; 3-Sigma Control Bounds'!$C$21, "🚨 ANOMALY SPIKE", IF(E94&lt;0, "💳 CREDIT", "NORMAL"))</f>
        <v/>
      </c>
      <c r="G94" s="16">
        <f>(E94-'Stats &amp; 3-Sigma Control Bounds'!$C$6)/'Stats &amp; 3-Sigma Control Bounds'!$C$9</f>
        <v/>
      </c>
      <c r="H94" s="14">
        <f>IF(F94="🚨 ANOMALY SPIKE", "IMMEDIATE ESCALATION TO ENGINEERING", IF(F94="💳 CREDIT", "AUDIT CREDIT ALLOCATION", "APPROVED USAGE"))</f>
        <v/>
      </c>
    </row>
    <row r="95">
      <c r="A95" s="13">
        <f>'Master Cleaned Data Pipeline'!A90</f>
        <v/>
      </c>
      <c r="B95" s="13">
        <f>'Master Cleaned Data Pipeline'!B90</f>
        <v/>
      </c>
      <c r="C95" s="14">
        <f>'Master Cleaned Data Pipeline'!I90</f>
        <v/>
      </c>
      <c r="D95" s="14">
        <f>'Master Cleaned Data Pipeline'!F90</f>
        <v/>
      </c>
      <c r="E95" s="15">
        <f>'Master Cleaned Data Pipeline'!G90</f>
        <v/>
      </c>
      <c r="F95" s="13">
        <f>IF(E95&gt;'Stats &amp; 3-Sigma Control Bounds'!$C$21, "🚨 ANOMALY SPIKE", IF(E95&lt;0, "💳 CREDIT", "NORMAL"))</f>
        <v/>
      </c>
      <c r="G95" s="16">
        <f>(E95-'Stats &amp; 3-Sigma Control Bounds'!$C$6)/'Stats &amp; 3-Sigma Control Bounds'!$C$9</f>
        <v/>
      </c>
      <c r="H95" s="14">
        <f>IF(F95="🚨 ANOMALY SPIKE", "IMMEDIATE ESCALATION TO ENGINEERING", IF(F95="💳 CREDIT", "AUDIT CREDIT ALLOCATION", "APPROVED USAGE"))</f>
        <v/>
      </c>
    </row>
    <row r="96">
      <c r="A96" s="13">
        <f>'Master Cleaned Data Pipeline'!A91</f>
        <v/>
      </c>
      <c r="B96" s="13">
        <f>'Master Cleaned Data Pipeline'!B91</f>
        <v/>
      </c>
      <c r="C96" s="14">
        <f>'Master Cleaned Data Pipeline'!I91</f>
        <v/>
      </c>
      <c r="D96" s="14">
        <f>'Master Cleaned Data Pipeline'!F91</f>
        <v/>
      </c>
      <c r="E96" s="15">
        <f>'Master Cleaned Data Pipeline'!G91</f>
        <v/>
      </c>
      <c r="F96" s="13">
        <f>IF(E96&gt;'Stats &amp; 3-Sigma Control Bounds'!$C$21, "🚨 ANOMALY SPIKE", IF(E96&lt;0, "💳 CREDIT", "NORMAL"))</f>
        <v/>
      </c>
      <c r="G96" s="16">
        <f>(E96-'Stats &amp; 3-Sigma Control Bounds'!$C$6)/'Stats &amp; 3-Sigma Control Bounds'!$C$9</f>
        <v/>
      </c>
      <c r="H96" s="14">
        <f>IF(F96="🚨 ANOMALY SPIKE", "IMMEDIATE ESCALATION TO ENGINEERING", IF(F96="💳 CREDIT", "AUDIT CREDIT ALLOCATION", "APPROVED USAGE"))</f>
        <v/>
      </c>
    </row>
    <row r="97">
      <c r="A97" s="13">
        <f>'Master Cleaned Data Pipeline'!A92</f>
        <v/>
      </c>
      <c r="B97" s="13">
        <f>'Master Cleaned Data Pipeline'!B92</f>
        <v/>
      </c>
      <c r="C97" s="14">
        <f>'Master Cleaned Data Pipeline'!I92</f>
        <v/>
      </c>
      <c r="D97" s="14">
        <f>'Master Cleaned Data Pipeline'!F92</f>
        <v/>
      </c>
      <c r="E97" s="15">
        <f>'Master Cleaned Data Pipeline'!G92</f>
        <v/>
      </c>
      <c r="F97" s="13">
        <f>IF(E97&gt;'Stats &amp; 3-Sigma Control Bounds'!$C$21, "🚨 ANOMALY SPIKE", IF(E97&lt;0, "💳 CREDIT", "NORMAL"))</f>
        <v/>
      </c>
      <c r="G97" s="16">
        <f>(E97-'Stats &amp; 3-Sigma Control Bounds'!$C$6)/'Stats &amp; 3-Sigma Control Bounds'!$C$9</f>
        <v/>
      </c>
      <c r="H97" s="14">
        <f>IF(F97="🚨 ANOMALY SPIKE", "IMMEDIATE ESCALATION TO ENGINEERING", IF(F97="💳 CREDIT", "AUDIT CREDIT ALLOCATION", "APPROVED USAGE"))</f>
        <v/>
      </c>
    </row>
    <row r="98">
      <c r="A98" s="13">
        <f>'Master Cleaned Data Pipeline'!A93</f>
        <v/>
      </c>
      <c r="B98" s="13">
        <f>'Master Cleaned Data Pipeline'!B93</f>
        <v/>
      </c>
      <c r="C98" s="14">
        <f>'Master Cleaned Data Pipeline'!I93</f>
        <v/>
      </c>
      <c r="D98" s="14">
        <f>'Master Cleaned Data Pipeline'!F93</f>
        <v/>
      </c>
      <c r="E98" s="15">
        <f>'Master Cleaned Data Pipeline'!G93</f>
        <v/>
      </c>
      <c r="F98" s="13">
        <f>IF(E98&gt;'Stats &amp; 3-Sigma Control Bounds'!$C$21, "🚨 ANOMALY SPIKE", IF(E98&lt;0, "💳 CREDIT", "NORMAL"))</f>
        <v/>
      </c>
      <c r="G98" s="16">
        <f>(E98-'Stats &amp; 3-Sigma Control Bounds'!$C$6)/'Stats &amp; 3-Sigma Control Bounds'!$C$9</f>
        <v/>
      </c>
      <c r="H98" s="14">
        <f>IF(F98="🚨 ANOMALY SPIKE", "IMMEDIATE ESCALATION TO ENGINEERING", IF(F98="💳 CREDIT", "AUDIT CREDIT ALLOCATION", "APPROVED USAGE"))</f>
        <v/>
      </c>
    </row>
    <row r="99">
      <c r="A99" s="13">
        <f>'Master Cleaned Data Pipeline'!A94</f>
        <v/>
      </c>
      <c r="B99" s="13">
        <f>'Master Cleaned Data Pipeline'!B94</f>
        <v/>
      </c>
      <c r="C99" s="14">
        <f>'Master Cleaned Data Pipeline'!I94</f>
        <v/>
      </c>
      <c r="D99" s="14">
        <f>'Master Cleaned Data Pipeline'!F94</f>
        <v/>
      </c>
      <c r="E99" s="15">
        <f>'Master Cleaned Data Pipeline'!G94</f>
        <v/>
      </c>
      <c r="F99" s="13">
        <f>IF(E99&gt;'Stats &amp; 3-Sigma Control Bounds'!$C$21, "🚨 ANOMALY SPIKE", IF(E99&lt;0, "💳 CREDIT", "NORMAL"))</f>
        <v/>
      </c>
      <c r="G99" s="16">
        <f>(E99-'Stats &amp; 3-Sigma Control Bounds'!$C$6)/'Stats &amp; 3-Sigma Control Bounds'!$C$9</f>
        <v/>
      </c>
      <c r="H99" s="14">
        <f>IF(F99="🚨 ANOMALY SPIKE", "IMMEDIATE ESCALATION TO ENGINEERING", IF(F99="💳 CREDIT", "AUDIT CREDIT ALLOCATION", "APPROVED USAGE"))</f>
        <v/>
      </c>
    </row>
    <row r="100">
      <c r="A100" s="13">
        <f>'Master Cleaned Data Pipeline'!A95</f>
        <v/>
      </c>
      <c r="B100" s="13">
        <f>'Master Cleaned Data Pipeline'!B95</f>
        <v/>
      </c>
      <c r="C100" s="14">
        <f>'Master Cleaned Data Pipeline'!I95</f>
        <v/>
      </c>
      <c r="D100" s="14">
        <f>'Master Cleaned Data Pipeline'!F95</f>
        <v/>
      </c>
      <c r="E100" s="15">
        <f>'Master Cleaned Data Pipeline'!G95</f>
        <v/>
      </c>
      <c r="F100" s="13">
        <f>IF(E100&gt;'Stats &amp; 3-Sigma Control Bounds'!$C$21, "🚨 ANOMALY SPIKE", IF(E100&lt;0, "💳 CREDIT", "NORMAL"))</f>
        <v/>
      </c>
      <c r="G100" s="16">
        <f>(E100-'Stats &amp; 3-Sigma Control Bounds'!$C$6)/'Stats &amp; 3-Sigma Control Bounds'!$C$9</f>
        <v/>
      </c>
      <c r="H100" s="14">
        <f>IF(F100="🚨 ANOMALY SPIKE", "IMMEDIATE ESCALATION TO ENGINEERING", IF(F100="💳 CREDIT", "AUDIT CREDIT ALLOCATION", "APPROVED USAGE"))</f>
        <v/>
      </c>
    </row>
    <row r="101">
      <c r="A101" s="13">
        <f>'Master Cleaned Data Pipeline'!A96</f>
        <v/>
      </c>
      <c r="B101" s="13">
        <f>'Master Cleaned Data Pipeline'!B96</f>
        <v/>
      </c>
      <c r="C101" s="14">
        <f>'Master Cleaned Data Pipeline'!I96</f>
        <v/>
      </c>
      <c r="D101" s="14">
        <f>'Master Cleaned Data Pipeline'!F96</f>
        <v/>
      </c>
      <c r="E101" s="15">
        <f>'Master Cleaned Data Pipeline'!G96</f>
        <v/>
      </c>
      <c r="F101" s="13">
        <f>IF(E101&gt;'Stats &amp; 3-Sigma Control Bounds'!$C$21, "🚨 ANOMALY SPIKE", IF(E101&lt;0, "💳 CREDIT", "NORMAL"))</f>
        <v/>
      </c>
      <c r="G101" s="16">
        <f>(E101-'Stats &amp; 3-Sigma Control Bounds'!$C$6)/'Stats &amp; 3-Sigma Control Bounds'!$C$9</f>
        <v/>
      </c>
      <c r="H101" s="14">
        <f>IF(F101="🚨 ANOMALY SPIKE", "IMMEDIATE ESCALATION TO ENGINEERING", IF(F101="💳 CREDIT", "AUDIT CREDIT ALLOCATION", "APPROVED USAGE"))</f>
        <v/>
      </c>
    </row>
    <row r="102">
      <c r="A102" s="13">
        <f>'Master Cleaned Data Pipeline'!A97</f>
        <v/>
      </c>
      <c r="B102" s="13">
        <f>'Master Cleaned Data Pipeline'!B97</f>
        <v/>
      </c>
      <c r="C102" s="14">
        <f>'Master Cleaned Data Pipeline'!I97</f>
        <v/>
      </c>
      <c r="D102" s="14">
        <f>'Master Cleaned Data Pipeline'!F97</f>
        <v/>
      </c>
      <c r="E102" s="15">
        <f>'Master Cleaned Data Pipeline'!G97</f>
        <v/>
      </c>
      <c r="F102" s="13">
        <f>IF(E102&gt;'Stats &amp; 3-Sigma Control Bounds'!$C$21, "🚨 ANOMALY SPIKE", IF(E102&lt;0, "💳 CREDIT", "NORMAL"))</f>
        <v/>
      </c>
      <c r="G102" s="16">
        <f>(E102-'Stats &amp; 3-Sigma Control Bounds'!$C$6)/'Stats &amp; 3-Sigma Control Bounds'!$C$9</f>
        <v/>
      </c>
      <c r="H102" s="14">
        <f>IF(F102="🚨 ANOMALY SPIKE", "IMMEDIATE ESCALATION TO ENGINEERING", IF(F102="💳 CREDIT", "AUDIT CREDIT ALLOCATION", "APPROVED USAGE"))</f>
        <v/>
      </c>
    </row>
    <row r="103">
      <c r="A103" s="13">
        <f>'Master Cleaned Data Pipeline'!A98</f>
        <v/>
      </c>
      <c r="B103" s="13">
        <f>'Master Cleaned Data Pipeline'!B98</f>
        <v/>
      </c>
      <c r="C103" s="14">
        <f>'Master Cleaned Data Pipeline'!I98</f>
        <v/>
      </c>
      <c r="D103" s="14">
        <f>'Master Cleaned Data Pipeline'!F98</f>
        <v/>
      </c>
      <c r="E103" s="15">
        <f>'Master Cleaned Data Pipeline'!G98</f>
        <v/>
      </c>
      <c r="F103" s="13">
        <f>IF(E103&gt;'Stats &amp; 3-Sigma Control Bounds'!$C$21, "🚨 ANOMALY SPIKE", IF(E103&lt;0, "💳 CREDIT", "NORMAL"))</f>
        <v/>
      </c>
      <c r="G103" s="16">
        <f>(E103-'Stats &amp; 3-Sigma Control Bounds'!$C$6)/'Stats &amp; 3-Sigma Control Bounds'!$C$9</f>
        <v/>
      </c>
      <c r="H103" s="14">
        <f>IF(F103="🚨 ANOMALY SPIKE", "IMMEDIATE ESCALATION TO ENGINEERING", IF(F103="💳 CREDIT", "AUDIT CREDIT ALLOCATION", "APPROVED USAGE"))</f>
        <v/>
      </c>
    </row>
    <row r="104">
      <c r="A104" s="13">
        <f>'Master Cleaned Data Pipeline'!A99</f>
        <v/>
      </c>
      <c r="B104" s="13">
        <f>'Master Cleaned Data Pipeline'!B99</f>
        <v/>
      </c>
      <c r="C104" s="14">
        <f>'Master Cleaned Data Pipeline'!I99</f>
        <v/>
      </c>
      <c r="D104" s="14">
        <f>'Master Cleaned Data Pipeline'!F99</f>
        <v/>
      </c>
      <c r="E104" s="15">
        <f>'Master Cleaned Data Pipeline'!G99</f>
        <v/>
      </c>
      <c r="F104" s="13">
        <f>IF(E104&gt;'Stats &amp; 3-Sigma Control Bounds'!$C$21, "🚨 ANOMALY SPIKE", IF(E104&lt;0, "💳 CREDIT", "NORMAL"))</f>
        <v/>
      </c>
      <c r="G104" s="16">
        <f>(E104-'Stats &amp; 3-Sigma Control Bounds'!$C$6)/'Stats &amp; 3-Sigma Control Bounds'!$C$9</f>
        <v/>
      </c>
      <c r="H104" s="14">
        <f>IF(F104="🚨 ANOMALY SPIKE", "IMMEDIATE ESCALATION TO ENGINEERING", IF(F104="💳 CREDIT", "AUDIT CREDIT ALLOCATION", "APPROVED USAGE"))</f>
        <v/>
      </c>
    </row>
    <row r="105">
      <c r="A105" s="13">
        <f>'Master Cleaned Data Pipeline'!A100</f>
        <v/>
      </c>
      <c r="B105" s="13">
        <f>'Master Cleaned Data Pipeline'!B100</f>
        <v/>
      </c>
      <c r="C105" s="14">
        <f>'Master Cleaned Data Pipeline'!I100</f>
        <v/>
      </c>
      <c r="D105" s="14">
        <f>'Master Cleaned Data Pipeline'!F100</f>
        <v/>
      </c>
      <c r="E105" s="15">
        <f>'Master Cleaned Data Pipeline'!G100</f>
        <v/>
      </c>
      <c r="F105" s="13">
        <f>IF(E105&gt;'Stats &amp; 3-Sigma Control Bounds'!$C$21, "🚨 ANOMALY SPIKE", IF(E105&lt;0, "💳 CREDIT", "NORMAL"))</f>
        <v/>
      </c>
      <c r="G105" s="16">
        <f>(E105-'Stats &amp; 3-Sigma Control Bounds'!$C$6)/'Stats &amp; 3-Sigma Control Bounds'!$C$9</f>
        <v/>
      </c>
      <c r="H105" s="14">
        <f>IF(F105="🚨 ANOMALY SPIKE", "IMMEDIATE ESCALATION TO ENGINEERING", IF(F105="💳 CREDIT", "AUDIT CREDIT ALLOCATION", "APPROVED USAGE"))</f>
        <v/>
      </c>
    </row>
    <row r="106">
      <c r="A106" s="13">
        <f>'Master Cleaned Data Pipeline'!A101</f>
        <v/>
      </c>
      <c r="B106" s="13">
        <f>'Master Cleaned Data Pipeline'!B101</f>
        <v/>
      </c>
      <c r="C106" s="14">
        <f>'Master Cleaned Data Pipeline'!I101</f>
        <v/>
      </c>
      <c r="D106" s="14">
        <f>'Master Cleaned Data Pipeline'!F101</f>
        <v/>
      </c>
      <c r="E106" s="15">
        <f>'Master Cleaned Data Pipeline'!G101</f>
        <v/>
      </c>
      <c r="F106" s="13">
        <f>IF(E106&gt;'Stats &amp; 3-Sigma Control Bounds'!$C$21, "🚨 ANOMALY SPIKE", IF(E106&lt;0, "💳 CREDIT", "NORMAL"))</f>
        <v/>
      </c>
      <c r="G106" s="16">
        <f>(E106-'Stats &amp; 3-Sigma Control Bounds'!$C$6)/'Stats &amp; 3-Sigma Control Bounds'!$C$9</f>
        <v/>
      </c>
      <c r="H106" s="14">
        <f>IF(F106="🚨 ANOMALY SPIKE", "IMMEDIATE ESCALATION TO ENGINEERING", IF(F106="💳 CREDIT", "AUDIT CREDIT ALLOCATION", "APPROVED USAGE"))</f>
        <v/>
      </c>
    </row>
    <row r="107">
      <c r="A107" s="13">
        <f>'Master Cleaned Data Pipeline'!A102</f>
        <v/>
      </c>
      <c r="B107" s="13">
        <f>'Master Cleaned Data Pipeline'!B102</f>
        <v/>
      </c>
      <c r="C107" s="14">
        <f>'Master Cleaned Data Pipeline'!I102</f>
        <v/>
      </c>
      <c r="D107" s="14">
        <f>'Master Cleaned Data Pipeline'!F102</f>
        <v/>
      </c>
      <c r="E107" s="15">
        <f>'Master Cleaned Data Pipeline'!G102</f>
        <v/>
      </c>
      <c r="F107" s="13">
        <f>IF(E107&gt;'Stats &amp; 3-Sigma Control Bounds'!$C$21, "🚨 ANOMALY SPIKE", IF(E107&lt;0, "💳 CREDIT", "NORMAL"))</f>
        <v/>
      </c>
      <c r="G107" s="16">
        <f>(E107-'Stats &amp; 3-Sigma Control Bounds'!$C$6)/'Stats &amp; 3-Sigma Control Bounds'!$C$9</f>
        <v/>
      </c>
      <c r="H107" s="14">
        <f>IF(F107="🚨 ANOMALY SPIKE", "IMMEDIATE ESCALATION TO ENGINEERING", IF(F107="💳 CREDIT", "AUDIT CREDIT ALLOCATION", "APPROVED USAGE"))</f>
        <v/>
      </c>
    </row>
    <row r="108">
      <c r="A108" s="13">
        <f>'Master Cleaned Data Pipeline'!A103</f>
        <v/>
      </c>
      <c r="B108" s="13">
        <f>'Master Cleaned Data Pipeline'!B103</f>
        <v/>
      </c>
      <c r="C108" s="14">
        <f>'Master Cleaned Data Pipeline'!I103</f>
        <v/>
      </c>
      <c r="D108" s="14">
        <f>'Master Cleaned Data Pipeline'!F103</f>
        <v/>
      </c>
      <c r="E108" s="15">
        <f>'Master Cleaned Data Pipeline'!G103</f>
        <v/>
      </c>
      <c r="F108" s="13">
        <f>IF(E108&gt;'Stats &amp; 3-Sigma Control Bounds'!$C$21, "🚨 ANOMALY SPIKE", IF(E108&lt;0, "💳 CREDIT", "NORMAL"))</f>
        <v/>
      </c>
      <c r="G108" s="16">
        <f>(E108-'Stats &amp; 3-Sigma Control Bounds'!$C$6)/'Stats &amp; 3-Sigma Control Bounds'!$C$9</f>
        <v/>
      </c>
      <c r="H108" s="14">
        <f>IF(F108="🚨 ANOMALY SPIKE", "IMMEDIATE ESCALATION TO ENGINEERING", IF(F108="💳 CREDIT", "AUDIT CREDIT ALLOCATION", "APPROVED USAGE"))</f>
        <v/>
      </c>
    </row>
    <row r="109">
      <c r="A109" s="13">
        <f>'Master Cleaned Data Pipeline'!A104</f>
        <v/>
      </c>
      <c r="B109" s="13">
        <f>'Master Cleaned Data Pipeline'!B104</f>
        <v/>
      </c>
      <c r="C109" s="14">
        <f>'Master Cleaned Data Pipeline'!I104</f>
        <v/>
      </c>
      <c r="D109" s="14">
        <f>'Master Cleaned Data Pipeline'!F104</f>
        <v/>
      </c>
      <c r="E109" s="15">
        <f>'Master Cleaned Data Pipeline'!G104</f>
        <v/>
      </c>
      <c r="F109" s="13">
        <f>IF(E109&gt;'Stats &amp; 3-Sigma Control Bounds'!$C$21, "🚨 ANOMALY SPIKE", IF(E109&lt;0, "💳 CREDIT", "NORMAL"))</f>
        <v/>
      </c>
      <c r="G109" s="16">
        <f>(E109-'Stats &amp; 3-Sigma Control Bounds'!$C$6)/'Stats &amp; 3-Sigma Control Bounds'!$C$9</f>
        <v/>
      </c>
      <c r="H109" s="14">
        <f>IF(F109="🚨 ANOMALY SPIKE", "IMMEDIATE ESCALATION TO ENGINEERING", IF(F109="💳 CREDIT", "AUDIT CREDIT ALLOCATION", "APPROVED USAGE"))</f>
        <v/>
      </c>
    </row>
    <row r="110">
      <c r="A110" s="13">
        <f>'Master Cleaned Data Pipeline'!A105</f>
        <v/>
      </c>
      <c r="B110" s="13">
        <f>'Master Cleaned Data Pipeline'!B105</f>
        <v/>
      </c>
      <c r="C110" s="14">
        <f>'Master Cleaned Data Pipeline'!I105</f>
        <v/>
      </c>
      <c r="D110" s="14">
        <f>'Master Cleaned Data Pipeline'!F105</f>
        <v/>
      </c>
      <c r="E110" s="15">
        <f>'Master Cleaned Data Pipeline'!G105</f>
        <v/>
      </c>
      <c r="F110" s="13">
        <f>IF(E110&gt;'Stats &amp; 3-Sigma Control Bounds'!$C$21, "🚨 ANOMALY SPIKE", IF(E110&lt;0, "💳 CREDIT", "NORMAL"))</f>
        <v/>
      </c>
      <c r="G110" s="16">
        <f>(E110-'Stats &amp; 3-Sigma Control Bounds'!$C$6)/'Stats &amp; 3-Sigma Control Bounds'!$C$9</f>
        <v/>
      </c>
      <c r="H110" s="14">
        <f>IF(F110="🚨 ANOMALY SPIKE", "IMMEDIATE ESCALATION TO ENGINEERING", IF(F110="💳 CREDIT", "AUDIT CREDIT ALLOCATION", "APPROVED USAGE"))</f>
        <v/>
      </c>
    </row>
    <row r="111">
      <c r="A111" s="13">
        <f>'Master Cleaned Data Pipeline'!A106</f>
        <v/>
      </c>
      <c r="B111" s="13">
        <f>'Master Cleaned Data Pipeline'!B106</f>
        <v/>
      </c>
      <c r="C111" s="14">
        <f>'Master Cleaned Data Pipeline'!I106</f>
        <v/>
      </c>
      <c r="D111" s="14">
        <f>'Master Cleaned Data Pipeline'!F106</f>
        <v/>
      </c>
      <c r="E111" s="15">
        <f>'Master Cleaned Data Pipeline'!G106</f>
        <v/>
      </c>
      <c r="F111" s="13">
        <f>IF(E111&gt;'Stats &amp; 3-Sigma Control Bounds'!$C$21, "🚨 ANOMALY SPIKE", IF(E111&lt;0, "💳 CREDIT", "NORMAL"))</f>
        <v/>
      </c>
      <c r="G111" s="16">
        <f>(E111-'Stats &amp; 3-Sigma Control Bounds'!$C$6)/'Stats &amp; 3-Sigma Control Bounds'!$C$9</f>
        <v/>
      </c>
      <c r="H111" s="14">
        <f>IF(F111="🚨 ANOMALY SPIKE", "IMMEDIATE ESCALATION TO ENGINEERING", IF(F111="💳 CREDIT", "AUDIT CREDIT ALLOCATION", "APPROVED USAGE"))</f>
        <v/>
      </c>
    </row>
    <row r="112">
      <c r="A112" s="13">
        <f>'Master Cleaned Data Pipeline'!A107</f>
        <v/>
      </c>
      <c r="B112" s="13">
        <f>'Master Cleaned Data Pipeline'!B107</f>
        <v/>
      </c>
      <c r="C112" s="14">
        <f>'Master Cleaned Data Pipeline'!I107</f>
        <v/>
      </c>
      <c r="D112" s="14">
        <f>'Master Cleaned Data Pipeline'!F107</f>
        <v/>
      </c>
      <c r="E112" s="15">
        <f>'Master Cleaned Data Pipeline'!G107</f>
        <v/>
      </c>
      <c r="F112" s="13">
        <f>IF(E112&gt;'Stats &amp; 3-Sigma Control Bounds'!$C$21, "🚨 ANOMALY SPIKE", IF(E112&lt;0, "💳 CREDIT", "NORMAL"))</f>
        <v/>
      </c>
      <c r="G112" s="16">
        <f>(E112-'Stats &amp; 3-Sigma Control Bounds'!$C$6)/'Stats &amp; 3-Sigma Control Bounds'!$C$9</f>
        <v/>
      </c>
      <c r="H112" s="14">
        <f>IF(F112="🚨 ANOMALY SPIKE", "IMMEDIATE ESCALATION TO ENGINEERING", IF(F112="💳 CREDIT", "AUDIT CREDIT ALLOCATION", "APPROVED USAGE"))</f>
        <v/>
      </c>
    </row>
    <row r="113">
      <c r="A113" s="13">
        <f>'Master Cleaned Data Pipeline'!A108</f>
        <v/>
      </c>
      <c r="B113" s="13">
        <f>'Master Cleaned Data Pipeline'!B108</f>
        <v/>
      </c>
      <c r="C113" s="14">
        <f>'Master Cleaned Data Pipeline'!I108</f>
        <v/>
      </c>
      <c r="D113" s="14">
        <f>'Master Cleaned Data Pipeline'!F108</f>
        <v/>
      </c>
      <c r="E113" s="15">
        <f>'Master Cleaned Data Pipeline'!G108</f>
        <v/>
      </c>
      <c r="F113" s="13">
        <f>IF(E113&gt;'Stats &amp; 3-Sigma Control Bounds'!$C$21, "🚨 ANOMALY SPIKE", IF(E113&lt;0, "💳 CREDIT", "NORMAL"))</f>
        <v/>
      </c>
      <c r="G113" s="16">
        <f>(E113-'Stats &amp; 3-Sigma Control Bounds'!$C$6)/'Stats &amp; 3-Sigma Control Bounds'!$C$9</f>
        <v/>
      </c>
      <c r="H113" s="14">
        <f>IF(F113="🚨 ANOMALY SPIKE", "IMMEDIATE ESCALATION TO ENGINEERING", IF(F113="💳 CREDIT", "AUDIT CREDIT ALLOCATION", "APPROVED USAGE"))</f>
        <v/>
      </c>
    </row>
    <row r="114">
      <c r="A114" s="13">
        <f>'Master Cleaned Data Pipeline'!A109</f>
        <v/>
      </c>
      <c r="B114" s="13">
        <f>'Master Cleaned Data Pipeline'!B109</f>
        <v/>
      </c>
      <c r="C114" s="14">
        <f>'Master Cleaned Data Pipeline'!I109</f>
        <v/>
      </c>
      <c r="D114" s="14">
        <f>'Master Cleaned Data Pipeline'!F109</f>
        <v/>
      </c>
      <c r="E114" s="15">
        <f>'Master Cleaned Data Pipeline'!G109</f>
        <v/>
      </c>
      <c r="F114" s="13">
        <f>IF(E114&gt;'Stats &amp; 3-Sigma Control Bounds'!$C$21, "🚨 ANOMALY SPIKE", IF(E114&lt;0, "💳 CREDIT", "NORMAL"))</f>
        <v/>
      </c>
      <c r="G114" s="16">
        <f>(E114-'Stats &amp; 3-Sigma Control Bounds'!$C$6)/'Stats &amp; 3-Sigma Control Bounds'!$C$9</f>
        <v/>
      </c>
      <c r="H114" s="14">
        <f>IF(F114="🚨 ANOMALY SPIKE", "IMMEDIATE ESCALATION TO ENGINEERING", IF(F114="💳 CREDIT", "AUDIT CREDIT ALLOCATION", "APPROVED USAGE"))</f>
        <v/>
      </c>
    </row>
    <row r="115">
      <c r="A115" s="13">
        <f>'Master Cleaned Data Pipeline'!A110</f>
        <v/>
      </c>
      <c r="B115" s="13">
        <f>'Master Cleaned Data Pipeline'!B110</f>
        <v/>
      </c>
      <c r="C115" s="14">
        <f>'Master Cleaned Data Pipeline'!I110</f>
        <v/>
      </c>
      <c r="D115" s="14">
        <f>'Master Cleaned Data Pipeline'!F110</f>
        <v/>
      </c>
      <c r="E115" s="15">
        <f>'Master Cleaned Data Pipeline'!G110</f>
        <v/>
      </c>
      <c r="F115" s="13">
        <f>IF(E115&gt;'Stats &amp; 3-Sigma Control Bounds'!$C$21, "🚨 ANOMALY SPIKE", IF(E115&lt;0, "💳 CREDIT", "NORMAL"))</f>
        <v/>
      </c>
      <c r="G115" s="16">
        <f>(E115-'Stats &amp; 3-Sigma Control Bounds'!$C$6)/'Stats &amp; 3-Sigma Control Bounds'!$C$9</f>
        <v/>
      </c>
      <c r="H115" s="14">
        <f>IF(F115="🚨 ANOMALY SPIKE", "IMMEDIATE ESCALATION TO ENGINEERING", IF(F115="💳 CREDIT", "AUDIT CREDIT ALLOCATION", "APPROVED USAGE"))</f>
        <v/>
      </c>
    </row>
    <row r="116">
      <c r="A116" s="13">
        <f>'Master Cleaned Data Pipeline'!A111</f>
        <v/>
      </c>
      <c r="B116" s="13">
        <f>'Master Cleaned Data Pipeline'!B111</f>
        <v/>
      </c>
      <c r="C116" s="14">
        <f>'Master Cleaned Data Pipeline'!I111</f>
        <v/>
      </c>
      <c r="D116" s="14">
        <f>'Master Cleaned Data Pipeline'!F111</f>
        <v/>
      </c>
      <c r="E116" s="15">
        <f>'Master Cleaned Data Pipeline'!G111</f>
        <v/>
      </c>
      <c r="F116" s="13">
        <f>IF(E116&gt;'Stats &amp; 3-Sigma Control Bounds'!$C$21, "🚨 ANOMALY SPIKE", IF(E116&lt;0, "💳 CREDIT", "NORMAL"))</f>
        <v/>
      </c>
      <c r="G116" s="16">
        <f>(E116-'Stats &amp; 3-Sigma Control Bounds'!$C$6)/'Stats &amp; 3-Sigma Control Bounds'!$C$9</f>
        <v/>
      </c>
      <c r="H116" s="14">
        <f>IF(F116="🚨 ANOMALY SPIKE", "IMMEDIATE ESCALATION TO ENGINEERING", IF(F116="💳 CREDIT", "AUDIT CREDIT ALLOCATION", "APPROVED USAGE"))</f>
        <v/>
      </c>
    </row>
    <row r="117">
      <c r="A117" s="13">
        <f>'Master Cleaned Data Pipeline'!A112</f>
        <v/>
      </c>
      <c r="B117" s="13">
        <f>'Master Cleaned Data Pipeline'!B112</f>
        <v/>
      </c>
      <c r="C117" s="14">
        <f>'Master Cleaned Data Pipeline'!I112</f>
        <v/>
      </c>
      <c r="D117" s="14">
        <f>'Master Cleaned Data Pipeline'!F112</f>
        <v/>
      </c>
      <c r="E117" s="15">
        <f>'Master Cleaned Data Pipeline'!G112</f>
        <v/>
      </c>
      <c r="F117" s="13">
        <f>IF(E117&gt;'Stats &amp; 3-Sigma Control Bounds'!$C$21, "🚨 ANOMALY SPIKE", IF(E117&lt;0, "💳 CREDIT", "NORMAL"))</f>
        <v/>
      </c>
      <c r="G117" s="16">
        <f>(E117-'Stats &amp; 3-Sigma Control Bounds'!$C$6)/'Stats &amp; 3-Sigma Control Bounds'!$C$9</f>
        <v/>
      </c>
      <c r="H117" s="14">
        <f>IF(F117="🚨 ANOMALY SPIKE", "IMMEDIATE ESCALATION TO ENGINEERING", IF(F117="💳 CREDIT", "AUDIT CREDIT ALLOCATION", "APPROVED USAGE"))</f>
        <v/>
      </c>
    </row>
    <row r="118">
      <c r="A118" s="13">
        <f>'Master Cleaned Data Pipeline'!A113</f>
        <v/>
      </c>
      <c r="B118" s="13">
        <f>'Master Cleaned Data Pipeline'!B113</f>
        <v/>
      </c>
      <c r="C118" s="14">
        <f>'Master Cleaned Data Pipeline'!I113</f>
        <v/>
      </c>
      <c r="D118" s="14">
        <f>'Master Cleaned Data Pipeline'!F113</f>
        <v/>
      </c>
      <c r="E118" s="15">
        <f>'Master Cleaned Data Pipeline'!G113</f>
        <v/>
      </c>
      <c r="F118" s="13">
        <f>IF(E118&gt;'Stats &amp; 3-Sigma Control Bounds'!$C$21, "🚨 ANOMALY SPIKE", IF(E118&lt;0, "💳 CREDIT", "NORMAL"))</f>
        <v/>
      </c>
      <c r="G118" s="16">
        <f>(E118-'Stats &amp; 3-Sigma Control Bounds'!$C$6)/'Stats &amp; 3-Sigma Control Bounds'!$C$9</f>
        <v/>
      </c>
      <c r="H118" s="14">
        <f>IF(F118="🚨 ANOMALY SPIKE", "IMMEDIATE ESCALATION TO ENGINEERING", IF(F118="💳 CREDIT", "AUDIT CREDIT ALLOCATION", "APPROVED USAGE"))</f>
        <v/>
      </c>
    </row>
    <row r="119">
      <c r="A119" s="13">
        <f>'Master Cleaned Data Pipeline'!A114</f>
        <v/>
      </c>
      <c r="B119" s="13">
        <f>'Master Cleaned Data Pipeline'!B114</f>
        <v/>
      </c>
      <c r="C119" s="14">
        <f>'Master Cleaned Data Pipeline'!I114</f>
        <v/>
      </c>
      <c r="D119" s="14">
        <f>'Master Cleaned Data Pipeline'!F114</f>
        <v/>
      </c>
      <c r="E119" s="15">
        <f>'Master Cleaned Data Pipeline'!G114</f>
        <v/>
      </c>
      <c r="F119" s="13">
        <f>IF(E119&gt;'Stats &amp; 3-Sigma Control Bounds'!$C$21, "🚨 ANOMALY SPIKE", IF(E119&lt;0, "💳 CREDIT", "NORMAL"))</f>
        <v/>
      </c>
      <c r="G119" s="16">
        <f>(E119-'Stats &amp; 3-Sigma Control Bounds'!$C$6)/'Stats &amp; 3-Sigma Control Bounds'!$C$9</f>
        <v/>
      </c>
      <c r="H119" s="14">
        <f>IF(F119="🚨 ANOMALY SPIKE", "IMMEDIATE ESCALATION TO ENGINEERING", IF(F119="💳 CREDIT", "AUDIT CREDIT ALLOCATION", "APPROVED USAGE"))</f>
        <v/>
      </c>
    </row>
    <row r="120">
      <c r="A120" s="13">
        <f>'Master Cleaned Data Pipeline'!A115</f>
        <v/>
      </c>
      <c r="B120" s="13">
        <f>'Master Cleaned Data Pipeline'!B115</f>
        <v/>
      </c>
      <c r="C120" s="14">
        <f>'Master Cleaned Data Pipeline'!I115</f>
        <v/>
      </c>
      <c r="D120" s="14">
        <f>'Master Cleaned Data Pipeline'!F115</f>
        <v/>
      </c>
      <c r="E120" s="15">
        <f>'Master Cleaned Data Pipeline'!G115</f>
        <v/>
      </c>
      <c r="F120" s="13">
        <f>IF(E120&gt;'Stats &amp; 3-Sigma Control Bounds'!$C$21, "🚨 ANOMALY SPIKE", IF(E120&lt;0, "💳 CREDIT", "NORMAL"))</f>
        <v/>
      </c>
      <c r="G120" s="16">
        <f>(E120-'Stats &amp; 3-Sigma Control Bounds'!$C$6)/'Stats &amp; 3-Sigma Control Bounds'!$C$9</f>
        <v/>
      </c>
      <c r="H120" s="14">
        <f>IF(F120="🚨 ANOMALY SPIKE", "IMMEDIATE ESCALATION TO ENGINEERING", IF(F120="💳 CREDIT", "AUDIT CREDIT ALLOCATION", "APPROVED USAGE"))</f>
        <v/>
      </c>
    </row>
    <row r="121">
      <c r="A121" s="13">
        <f>'Master Cleaned Data Pipeline'!A116</f>
        <v/>
      </c>
      <c r="B121" s="13">
        <f>'Master Cleaned Data Pipeline'!B116</f>
        <v/>
      </c>
      <c r="C121" s="14">
        <f>'Master Cleaned Data Pipeline'!I116</f>
        <v/>
      </c>
      <c r="D121" s="14">
        <f>'Master Cleaned Data Pipeline'!F116</f>
        <v/>
      </c>
      <c r="E121" s="15">
        <f>'Master Cleaned Data Pipeline'!G116</f>
        <v/>
      </c>
      <c r="F121" s="13">
        <f>IF(E121&gt;'Stats &amp; 3-Sigma Control Bounds'!$C$21, "🚨 ANOMALY SPIKE", IF(E121&lt;0, "💳 CREDIT", "NORMAL"))</f>
        <v/>
      </c>
      <c r="G121" s="16">
        <f>(E121-'Stats &amp; 3-Sigma Control Bounds'!$C$6)/'Stats &amp; 3-Sigma Control Bounds'!$C$9</f>
        <v/>
      </c>
      <c r="H121" s="14">
        <f>IF(F121="🚨 ANOMALY SPIKE", "IMMEDIATE ESCALATION TO ENGINEERING", IF(F121="💳 CREDIT", "AUDIT CREDIT ALLOCATION", "APPROVED USAGE"))</f>
        <v/>
      </c>
    </row>
    <row r="122">
      <c r="A122" s="13">
        <f>'Master Cleaned Data Pipeline'!A117</f>
        <v/>
      </c>
      <c r="B122" s="13">
        <f>'Master Cleaned Data Pipeline'!B117</f>
        <v/>
      </c>
      <c r="C122" s="14">
        <f>'Master Cleaned Data Pipeline'!I117</f>
        <v/>
      </c>
      <c r="D122" s="14">
        <f>'Master Cleaned Data Pipeline'!F117</f>
        <v/>
      </c>
      <c r="E122" s="15">
        <f>'Master Cleaned Data Pipeline'!G117</f>
        <v/>
      </c>
      <c r="F122" s="13">
        <f>IF(E122&gt;'Stats &amp; 3-Sigma Control Bounds'!$C$21, "🚨 ANOMALY SPIKE", IF(E122&lt;0, "💳 CREDIT", "NORMAL"))</f>
        <v/>
      </c>
      <c r="G122" s="16">
        <f>(E122-'Stats &amp; 3-Sigma Control Bounds'!$C$6)/'Stats &amp; 3-Sigma Control Bounds'!$C$9</f>
        <v/>
      </c>
      <c r="H122" s="14">
        <f>IF(F122="🚨 ANOMALY SPIKE", "IMMEDIATE ESCALATION TO ENGINEERING", IF(F122="💳 CREDIT", "AUDIT CREDIT ALLOCATION", "APPROVED USAGE"))</f>
        <v/>
      </c>
    </row>
    <row r="123">
      <c r="A123" s="13">
        <f>'Master Cleaned Data Pipeline'!A118</f>
        <v/>
      </c>
      <c r="B123" s="13">
        <f>'Master Cleaned Data Pipeline'!B118</f>
        <v/>
      </c>
      <c r="C123" s="14">
        <f>'Master Cleaned Data Pipeline'!I118</f>
        <v/>
      </c>
      <c r="D123" s="14">
        <f>'Master Cleaned Data Pipeline'!F118</f>
        <v/>
      </c>
      <c r="E123" s="15">
        <f>'Master Cleaned Data Pipeline'!G118</f>
        <v/>
      </c>
      <c r="F123" s="13">
        <f>IF(E123&gt;'Stats &amp; 3-Sigma Control Bounds'!$C$21, "🚨 ANOMALY SPIKE", IF(E123&lt;0, "💳 CREDIT", "NORMAL"))</f>
        <v/>
      </c>
      <c r="G123" s="16">
        <f>(E123-'Stats &amp; 3-Sigma Control Bounds'!$C$6)/'Stats &amp; 3-Sigma Control Bounds'!$C$9</f>
        <v/>
      </c>
      <c r="H123" s="14">
        <f>IF(F123="🚨 ANOMALY SPIKE", "IMMEDIATE ESCALATION TO ENGINEERING", IF(F123="💳 CREDIT", "AUDIT CREDIT ALLOCATION", "APPROVED USAGE"))</f>
        <v/>
      </c>
    </row>
    <row r="124">
      <c r="A124" s="13">
        <f>'Master Cleaned Data Pipeline'!A119</f>
        <v/>
      </c>
      <c r="B124" s="13">
        <f>'Master Cleaned Data Pipeline'!B119</f>
        <v/>
      </c>
      <c r="C124" s="14">
        <f>'Master Cleaned Data Pipeline'!I119</f>
        <v/>
      </c>
      <c r="D124" s="14">
        <f>'Master Cleaned Data Pipeline'!F119</f>
        <v/>
      </c>
      <c r="E124" s="15">
        <f>'Master Cleaned Data Pipeline'!G119</f>
        <v/>
      </c>
      <c r="F124" s="13">
        <f>IF(E124&gt;'Stats &amp; 3-Sigma Control Bounds'!$C$21, "🚨 ANOMALY SPIKE", IF(E124&lt;0, "💳 CREDIT", "NORMAL"))</f>
        <v/>
      </c>
      <c r="G124" s="16">
        <f>(E124-'Stats &amp; 3-Sigma Control Bounds'!$C$6)/'Stats &amp; 3-Sigma Control Bounds'!$C$9</f>
        <v/>
      </c>
      <c r="H124" s="14">
        <f>IF(F124="🚨 ANOMALY SPIKE", "IMMEDIATE ESCALATION TO ENGINEERING", IF(F124="💳 CREDIT", "AUDIT CREDIT ALLOCATION", "APPROVED USAGE"))</f>
        <v/>
      </c>
    </row>
    <row r="125">
      <c r="A125" s="13">
        <f>'Master Cleaned Data Pipeline'!A120</f>
        <v/>
      </c>
      <c r="B125" s="13">
        <f>'Master Cleaned Data Pipeline'!B120</f>
        <v/>
      </c>
      <c r="C125" s="14">
        <f>'Master Cleaned Data Pipeline'!I120</f>
        <v/>
      </c>
      <c r="D125" s="14">
        <f>'Master Cleaned Data Pipeline'!F120</f>
        <v/>
      </c>
      <c r="E125" s="15">
        <f>'Master Cleaned Data Pipeline'!G120</f>
        <v/>
      </c>
      <c r="F125" s="13">
        <f>IF(E125&gt;'Stats &amp; 3-Sigma Control Bounds'!$C$21, "🚨 ANOMALY SPIKE", IF(E125&lt;0, "💳 CREDIT", "NORMAL"))</f>
        <v/>
      </c>
      <c r="G125" s="16">
        <f>(E125-'Stats &amp; 3-Sigma Control Bounds'!$C$6)/'Stats &amp; 3-Sigma Control Bounds'!$C$9</f>
        <v/>
      </c>
      <c r="H125" s="14">
        <f>IF(F125="🚨 ANOMALY SPIKE", "IMMEDIATE ESCALATION TO ENGINEERING", IF(F125="💳 CREDIT", "AUDIT CREDIT ALLOCATION", "APPROVED USAGE"))</f>
        <v/>
      </c>
    </row>
    <row r="126">
      <c r="A126" s="13">
        <f>'Master Cleaned Data Pipeline'!A121</f>
        <v/>
      </c>
      <c r="B126" s="13">
        <f>'Master Cleaned Data Pipeline'!B121</f>
        <v/>
      </c>
      <c r="C126" s="14">
        <f>'Master Cleaned Data Pipeline'!I121</f>
        <v/>
      </c>
      <c r="D126" s="14">
        <f>'Master Cleaned Data Pipeline'!F121</f>
        <v/>
      </c>
      <c r="E126" s="15">
        <f>'Master Cleaned Data Pipeline'!G121</f>
        <v/>
      </c>
      <c r="F126" s="13">
        <f>IF(E126&gt;'Stats &amp; 3-Sigma Control Bounds'!$C$21, "🚨 ANOMALY SPIKE", IF(E126&lt;0, "💳 CREDIT", "NORMAL"))</f>
        <v/>
      </c>
      <c r="G126" s="16">
        <f>(E126-'Stats &amp; 3-Sigma Control Bounds'!$C$6)/'Stats &amp; 3-Sigma Control Bounds'!$C$9</f>
        <v/>
      </c>
      <c r="H126" s="14">
        <f>IF(F126="🚨 ANOMALY SPIKE", "IMMEDIATE ESCALATION TO ENGINEERING", IF(F126="💳 CREDIT", "AUDIT CREDIT ALLOCATION", "APPROVED USAGE"))</f>
        <v/>
      </c>
    </row>
    <row r="127">
      <c r="A127" s="13">
        <f>'Master Cleaned Data Pipeline'!A122</f>
        <v/>
      </c>
      <c r="B127" s="13">
        <f>'Master Cleaned Data Pipeline'!B122</f>
        <v/>
      </c>
      <c r="C127" s="14">
        <f>'Master Cleaned Data Pipeline'!I122</f>
        <v/>
      </c>
      <c r="D127" s="14">
        <f>'Master Cleaned Data Pipeline'!F122</f>
        <v/>
      </c>
      <c r="E127" s="15">
        <f>'Master Cleaned Data Pipeline'!G122</f>
        <v/>
      </c>
      <c r="F127" s="13">
        <f>IF(E127&gt;'Stats &amp; 3-Sigma Control Bounds'!$C$21, "🚨 ANOMALY SPIKE", IF(E127&lt;0, "💳 CREDIT", "NORMAL"))</f>
        <v/>
      </c>
      <c r="G127" s="16">
        <f>(E127-'Stats &amp; 3-Sigma Control Bounds'!$C$6)/'Stats &amp; 3-Sigma Control Bounds'!$C$9</f>
        <v/>
      </c>
      <c r="H127" s="14">
        <f>IF(F127="🚨 ANOMALY SPIKE", "IMMEDIATE ESCALATION TO ENGINEERING", IF(F127="💳 CREDIT", "AUDIT CREDIT ALLOCATION", "APPROVED USAGE"))</f>
        <v/>
      </c>
    </row>
    <row r="128">
      <c r="A128" s="13">
        <f>'Master Cleaned Data Pipeline'!A123</f>
        <v/>
      </c>
      <c r="B128" s="13">
        <f>'Master Cleaned Data Pipeline'!B123</f>
        <v/>
      </c>
      <c r="C128" s="14">
        <f>'Master Cleaned Data Pipeline'!I123</f>
        <v/>
      </c>
      <c r="D128" s="14">
        <f>'Master Cleaned Data Pipeline'!F123</f>
        <v/>
      </c>
      <c r="E128" s="15">
        <f>'Master Cleaned Data Pipeline'!G123</f>
        <v/>
      </c>
      <c r="F128" s="13">
        <f>IF(E128&gt;'Stats &amp; 3-Sigma Control Bounds'!$C$21, "🚨 ANOMALY SPIKE", IF(E128&lt;0, "💳 CREDIT", "NORMAL"))</f>
        <v/>
      </c>
      <c r="G128" s="16">
        <f>(E128-'Stats &amp; 3-Sigma Control Bounds'!$C$6)/'Stats &amp; 3-Sigma Control Bounds'!$C$9</f>
        <v/>
      </c>
      <c r="H128" s="14">
        <f>IF(F128="🚨 ANOMALY SPIKE", "IMMEDIATE ESCALATION TO ENGINEERING", IF(F128="💳 CREDIT", "AUDIT CREDIT ALLOCATION", "APPROVED USAGE"))</f>
        <v/>
      </c>
    </row>
    <row r="129">
      <c r="A129" s="13">
        <f>'Master Cleaned Data Pipeline'!A124</f>
        <v/>
      </c>
      <c r="B129" s="13">
        <f>'Master Cleaned Data Pipeline'!B124</f>
        <v/>
      </c>
      <c r="C129" s="14">
        <f>'Master Cleaned Data Pipeline'!I124</f>
        <v/>
      </c>
      <c r="D129" s="14">
        <f>'Master Cleaned Data Pipeline'!F124</f>
        <v/>
      </c>
      <c r="E129" s="15">
        <f>'Master Cleaned Data Pipeline'!G124</f>
        <v/>
      </c>
      <c r="F129" s="13">
        <f>IF(E129&gt;'Stats &amp; 3-Sigma Control Bounds'!$C$21, "🚨 ANOMALY SPIKE", IF(E129&lt;0, "💳 CREDIT", "NORMAL"))</f>
        <v/>
      </c>
      <c r="G129" s="16">
        <f>(E129-'Stats &amp; 3-Sigma Control Bounds'!$C$6)/'Stats &amp; 3-Sigma Control Bounds'!$C$9</f>
        <v/>
      </c>
      <c r="H129" s="14">
        <f>IF(F129="🚨 ANOMALY SPIKE", "IMMEDIATE ESCALATION TO ENGINEERING", IF(F129="💳 CREDIT", "AUDIT CREDIT ALLOCATION", "APPROVED USAGE"))</f>
        <v/>
      </c>
    </row>
    <row r="130">
      <c r="A130" s="13">
        <f>'Master Cleaned Data Pipeline'!A125</f>
        <v/>
      </c>
      <c r="B130" s="13">
        <f>'Master Cleaned Data Pipeline'!B125</f>
        <v/>
      </c>
      <c r="C130" s="14">
        <f>'Master Cleaned Data Pipeline'!I125</f>
        <v/>
      </c>
      <c r="D130" s="14">
        <f>'Master Cleaned Data Pipeline'!F125</f>
        <v/>
      </c>
      <c r="E130" s="15">
        <f>'Master Cleaned Data Pipeline'!G125</f>
        <v/>
      </c>
      <c r="F130" s="13">
        <f>IF(E130&gt;'Stats &amp; 3-Sigma Control Bounds'!$C$21, "🚨 ANOMALY SPIKE", IF(E130&lt;0, "💳 CREDIT", "NORMAL"))</f>
        <v/>
      </c>
      <c r="G130" s="16">
        <f>(E130-'Stats &amp; 3-Sigma Control Bounds'!$C$6)/'Stats &amp; 3-Sigma Control Bounds'!$C$9</f>
        <v/>
      </c>
      <c r="H130" s="14">
        <f>IF(F130="🚨 ANOMALY SPIKE", "IMMEDIATE ESCALATION TO ENGINEERING", IF(F130="💳 CREDIT", "AUDIT CREDIT ALLOCATION", "APPROVED USAGE"))</f>
        <v/>
      </c>
    </row>
    <row r="131">
      <c r="A131" s="13">
        <f>'Master Cleaned Data Pipeline'!A126</f>
        <v/>
      </c>
      <c r="B131" s="13">
        <f>'Master Cleaned Data Pipeline'!B126</f>
        <v/>
      </c>
      <c r="C131" s="14">
        <f>'Master Cleaned Data Pipeline'!I126</f>
        <v/>
      </c>
      <c r="D131" s="14">
        <f>'Master Cleaned Data Pipeline'!F126</f>
        <v/>
      </c>
      <c r="E131" s="15">
        <f>'Master Cleaned Data Pipeline'!G126</f>
        <v/>
      </c>
      <c r="F131" s="13">
        <f>IF(E131&gt;'Stats &amp; 3-Sigma Control Bounds'!$C$21, "🚨 ANOMALY SPIKE", IF(E131&lt;0, "💳 CREDIT", "NORMAL"))</f>
        <v/>
      </c>
      <c r="G131" s="16">
        <f>(E131-'Stats &amp; 3-Sigma Control Bounds'!$C$6)/'Stats &amp; 3-Sigma Control Bounds'!$C$9</f>
        <v/>
      </c>
      <c r="H131" s="14">
        <f>IF(F131="🚨 ANOMALY SPIKE", "IMMEDIATE ESCALATION TO ENGINEERING", IF(F131="💳 CREDIT", "AUDIT CREDIT ALLOCATION", "APPROVED USAGE"))</f>
        <v/>
      </c>
    </row>
    <row r="132">
      <c r="A132" s="13">
        <f>'Master Cleaned Data Pipeline'!A127</f>
        <v/>
      </c>
      <c r="B132" s="13">
        <f>'Master Cleaned Data Pipeline'!B127</f>
        <v/>
      </c>
      <c r="C132" s="14">
        <f>'Master Cleaned Data Pipeline'!I127</f>
        <v/>
      </c>
      <c r="D132" s="14">
        <f>'Master Cleaned Data Pipeline'!F127</f>
        <v/>
      </c>
      <c r="E132" s="15">
        <f>'Master Cleaned Data Pipeline'!G127</f>
        <v/>
      </c>
      <c r="F132" s="13">
        <f>IF(E132&gt;'Stats &amp; 3-Sigma Control Bounds'!$C$21, "🚨 ANOMALY SPIKE", IF(E132&lt;0, "💳 CREDIT", "NORMAL"))</f>
        <v/>
      </c>
      <c r="G132" s="16">
        <f>(E132-'Stats &amp; 3-Sigma Control Bounds'!$C$6)/'Stats &amp; 3-Sigma Control Bounds'!$C$9</f>
        <v/>
      </c>
      <c r="H132" s="14">
        <f>IF(F132="🚨 ANOMALY SPIKE", "IMMEDIATE ESCALATION TO ENGINEERING", IF(F132="💳 CREDIT", "AUDIT CREDIT ALLOCATION", "APPROVED USAGE"))</f>
        <v/>
      </c>
    </row>
    <row r="133">
      <c r="A133" s="13">
        <f>'Master Cleaned Data Pipeline'!A128</f>
        <v/>
      </c>
      <c r="B133" s="13">
        <f>'Master Cleaned Data Pipeline'!B128</f>
        <v/>
      </c>
      <c r="C133" s="14">
        <f>'Master Cleaned Data Pipeline'!I128</f>
        <v/>
      </c>
      <c r="D133" s="14">
        <f>'Master Cleaned Data Pipeline'!F128</f>
        <v/>
      </c>
      <c r="E133" s="15">
        <f>'Master Cleaned Data Pipeline'!G128</f>
        <v/>
      </c>
      <c r="F133" s="13">
        <f>IF(E133&gt;'Stats &amp; 3-Sigma Control Bounds'!$C$21, "🚨 ANOMALY SPIKE", IF(E133&lt;0, "💳 CREDIT", "NORMAL"))</f>
        <v/>
      </c>
      <c r="G133" s="16">
        <f>(E133-'Stats &amp; 3-Sigma Control Bounds'!$C$6)/'Stats &amp; 3-Sigma Control Bounds'!$C$9</f>
        <v/>
      </c>
      <c r="H133" s="14">
        <f>IF(F133="🚨 ANOMALY SPIKE", "IMMEDIATE ESCALATION TO ENGINEERING", IF(F133="💳 CREDIT", "AUDIT CREDIT ALLOCATION", "APPROVED USAGE"))</f>
        <v/>
      </c>
    </row>
    <row r="134">
      <c r="A134" s="13">
        <f>'Master Cleaned Data Pipeline'!A129</f>
        <v/>
      </c>
      <c r="B134" s="13">
        <f>'Master Cleaned Data Pipeline'!B129</f>
        <v/>
      </c>
      <c r="C134" s="14">
        <f>'Master Cleaned Data Pipeline'!I129</f>
        <v/>
      </c>
      <c r="D134" s="14">
        <f>'Master Cleaned Data Pipeline'!F129</f>
        <v/>
      </c>
      <c r="E134" s="15">
        <f>'Master Cleaned Data Pipeline'!G129</f>
        <v/>
      </c>
      <c r="F134" s="13">
        <f>IF(E134&gt;'Stats &amp; 3-Sigma Control Bounds'!$C$21, "🚨 ANOMALY SPIKE", IF(E134&lt;0, "💳 CREDIT", "NORMAL"))</f>
        <v/>
      </c>
      <c r="G134" s="16">
        <f>(E134-'Stats &amp; 3-Sigma Control Bounds'!$C$6)/'Stats &amp; 3-Sigma Control Bounds'!$C$9</f>
        <v/>
      </c>
      <c r="H134" s="14">
        <f>IF(F134="🚨 ANOMALY SPIKE", "IMMEDIATE ESCALATION TO ENGINEERING", IF(F134="💳 CREDIT", "AUDIT CREDIT ALLOCATION", "APPROVED USAGE"))</f>
        <v/>
      </c>
    </row>
    <row r="135">
      <c r="A135" s="13">
        <f>'Master Cleaned Data Pipeline'!A130</f>
        <v/>
      </c>
      <c r="B135" s="13">
        <f>'Master Cleaned Data Pipeline'!B130</f>
        <v/>
      </c>
      <c r="C135" s="14">
        <f>'Master Cleaned Data Pipeline'!I130</f>
        <v/>
      </c>
      <c r="D135" s="14">
        <f>'Master Cleaned Data Pipeline'!F130</f>
        <v/>
      </c>
      <c r="E135" s="15">
        <f>'Master Cleaned Data Pipeline'!G130</f>
        <v/>
      </c>
      <c r="F135" s="13">
        <f>IF(E135&gt;'Stats &amp; 3-Sigma Control Bounds'!$C$21, "🚨 ANOMALY SPIKE", IF(E135&lt;0, "💳 CREDIT", "NORMAL"))</f>
        <v/>
      </c>
      <c r="G135" s="16">
        <f>(E135-'Stats &amp; 3-Sigma Control Bounds'!$C$6)/'Stats &amp; 3-Sigma Control Bounds'!$C$9</f>
        <v/>
      </c>
      <c r="H135" s="14">
        <f>IF(F135="🚨 ANOMALY SPIKE", "IMMEDIATE ESCALATION TO ENGINEERING", IF(F135="💳 CREDIT", "AUDIT CREDIT ALLOCATION", "APPROVED USAGE"))</f>
        <v/>
      </c>
    </row>
    <row r="136">
      <c r="A136" s="13">
        <f>'Master Cleaned Data Pipeline'!A131</f>
        <v/>
      </c>
      <c r="B136" s="13">
        <f>'Master Cleaned Data Pipeline'!B131</f>
        <v/>
      </c>
      <c r="C136" s="14">
        <f>'Master Cleaned Data Pipeline'!I131</f>
        <v/>
      </c>
      <c r="D136" s="14">
        <f>'Master Cleaned Data Pipeline'!F131</f>
        <v/>
      </c>
      <c r="E136" s="15">
        <f>'Master Cleaned Data Pipeline'!G131</f>
        <v/>
      </c>
      <c r="F136" s="13">
        <f>IF(E136&gt;'Stats &amp; 3-Sigma Control Bounds'!$C$21, "🚨 ANOMALY SPIKE", IF(E136&lt;0, "💳 CREDIT", "NORMAL"))</f>
        <v/>
      </c>
      <c r="G136" s="16">
        <f>(E136-'Stats &amp; 3-Sigma Control Bounds'!$C$6)/'Stats &amp; 3-Sigma Control Bounds'!$C$9</f>
        <v/>
      </c>
      <c r="H136" s="14">
        <f>IF(F136="🚨 ANOMALY SPIKE", "IMMEDIATE ESCALATION TO ENGINEERING", IF(F136="💳 CREDIT", "AUDIT CREDIT ALLOCATION", "APPROVED USAGE"))</f>
        <v/>
      </c>
    </row>
    <row r="137">
      <c r="A137" s="13">
        <f>'Master Cleaned Data Pipeline'!A132</f>
        <v/>
      </c>
      <c r="B137" s="13">
        <f>'Master Cleaned Data Pipeline'!B132</f>
        <v/>
      </c>
      <c r="C137" s="14">
        <f>'Master Cleaned Data Pipeline'!I132</f>
        <v/>
      </c>
      <c r="D137" s="14">
        <f>'Master Cleaned Data Pipeline'!F132</f>
        <v/>
      </c>
      <c r="E137" s="15">
        <f>'Master Cleaned Data Pipeline'!G132</f>
        <v/>
      </c>
      <c r="F137" s="13">
        <f>IF(E137&gt;'Stats &amp; 3-Sigma Control Bounds'!$C$21, "🚨 ANOMALY SPIKE", IF(E137&lt;0, "💳 CREDIT", "NORMAL"))</f>
        <v/>
      </c>
      <c r="G137" s="16">
        <f>(E137-'Stats &amp; 3-Sigma Control Bounds'!$C$6)/'Stats &amp; 3-Sigma Control Bounds'!$C$9</f>
        <v/>
      </c>
      <c r="H137" s="14">
        <f>IF(F137="🚨 ANOMALY SPIKE", "IMMEDIATE ESCALATION TO ENGINEERING", IF(F137="💳 CREDIT", "AUDIT CREDIT ALLOCATION", "APPROVED USAGE"))</f>
        <v/>
      </c>
    </row>
    <row r="138">
      <c r="A138" s="13">
        <f>'Master Cleaned Data Pipeline'!A133</f>
        <v/>
      </c>
      <c r="B138" s="13">
        <f>'Master Cleaned Data Pipeline'!B133</f>
        <v/>
      </c>
      <c r="C138" s="14">
        <f>'Master Cleaned Data Pipeline'!I133</f>
        <v/>
      </c>
      <c r="D138" s="14">
        <f>'Master Cleaned Data Pipeline'!F133</f>
        <v/>
      </c>
      <c r="E138" s="15">
        <f>'Master Cleaned Data Pipeline'!G133</f>
        <v/>
      </c>
      <c r="F138" s="13">
        <f>IF(E138&gt;'Stats &amp; 3-Sigma Control Bounds'!$C$21, "🚨 ANOMALY SPIKE", IF(E138&lt;0, "💳 CREDIT", "NORMAL"))</f>
        <v/>
      </c>
      <c r="G138" s="16">
        <f>(E138-'Stats &amp; 3-Sigma Control Bounds'!$C$6)/'Stats &amp; 3-Sigma Control Bounds'!$C$9</f>
        <v/>
      </c>
      <c r="H138" s="14">
        <f>IF(F138="🚨 ANOMALY SPIKE", "IMMEDIATE ESCALATION TO ENGINEERING", IF(F138="💳 CREDIT", "AUDIT CREDIT ALLOCATION", "APPROVED USAGE"))</f>
        <v/>
      </c>
    </row>
    <row r="139">
      <c r="A139" s="13">
        <f>'Master Cleaned Data Pipeline'!A134</f>
        <v/>
      </c>
      <c r="B139" s="13">
        <f>'Master Cleaned Data Pipeline'!B134</f>
        <v/>
      </c>
      <c r="C139" s="14">
        <f>'Master Cleaned Data Pipeline'!I134</f>
        <v/>
      </c>
      <c r="D139" s="14">
        <f>'Master Cleaned Data Pipeline'!F134</f>
        <v/>
      </c>
      <c r="E139" s="15">
        <f>'Master Cleaned Data Pipeline'!G134</f>
        <v/>
      </c>
      <c r="F139" s="13">
        <f>IF(E139&gt;'Stats &amp; 3-Sigma Control Bounds'!$C$21, "🚨 ANOMALY SPIKE", IF(E139&lt;0, "💳 CREDIT", "NORMAL"))</f>
        <v/>
      </c>
      <c r="G139" s="16">
        <f>(E139-'Stats &amp; 3-Sigma Control Bounds'!$C$6)/'Stats &amp; 3-Sigma Control Bounds'!$C$9</f>
        <v/>
      </c>
      <c r="H139" s="14">
        <f>IF(F139="🚨 ANOMALY SPIKE", "IMMEDIATE ESCALATION TO ENGINEERING", IF(F139="💳 CREDIT", "AUDIT CREDIT ALLOCATION", "APPROVED USAGE"))</f>
        <v/>
      </c>
    </row>
    <row r="140">
      <c r="A140" s="13">
        <f>'Master Cleaned Data Pipeline'!A135</f>
        <v/>
      </c>
      <c r="B140" s="13">
        <f>'Master Cleaned Data Pipeline'!B135</f>
        <v/>
      </c>
      <c r="C140" s="14">
        <f>'Master Cleaned Data Pipeline'!I135</f>
        <v/>
      </c>
      <c r="D140" s="14">
        <f>'Master Cleaned Data Pipeline'!F135</f>
        <v/>
      </c>
      <c r="E140" s="15">
        <f>'Master Cleaned Data Pipeline'!G135</f>
        <v/>
      </c>
      <c r="F140" s="13">
        <f>IF(E140&gt;'Stats &amp; 3-Sigma Control Bounds'!$C$21, "🚨 ANOMALY SPIKE", IF(E140&lt;0, "💳 CREDIT", "NORMAL"))</f>
        <v/>
      </c>
      <c r="G140" s="16">
        <f>(E140-'Stats &amp; 3-Sigma Control Bounds'!$C$6)/'Stats &amp; 3-Sigma Control Bounds'!$C$9</f>
        <v/>
      </c>
      <c r="H140" s="14">
        <f>IF(F140="🚨 ANOMALY SPIKE", "IMMEDIATE ESCALATION TO ENGINEERING", IF(F140="💳 CREDIT", "AUDIT CREDIT ALLOCATION", "APPROVED USAGE"))</f>
        <v/>
      </c>
    </row>
    <row r="141">
      <c r="A141" s="13">
        <f>'Master Cleaned Data Pipeline'!A136</f>
        <v/>
      </c>
      <c r="B141" s="13">
        <f>'Master Cleaned Data Pipeline'!B136</f>
        <v/>
      </c>
      <c r="C141" s="14">
        <f>'Master Cleaned Data Pipeline'!I136</f>
        <v/>
      </c>
      <c r="D141" s="14">
        <f>'Master Cleaned Data Pipeline'!F136</f>
        <v/>
      </c>
      <c r="E141" s="15">
        <f>'Master Cleaned Data Pipeline'!G136</f>
        <v/>
      </c>
      <c r="F141" s="13">
        <f>IF(E141&gt;'Stats &amp; 3-Sigma Control Bounds'!$C$21, "🚨 ANOMALY SPIKE", IF(E141&lt;0, "💳 CREDIT", "NORMAL"))</f>
        <v/>
      </c>
      <c r="G141" s="16">
        <f>(E141-'Stats &amp; 3-Sigma Control Bounds'!$C$6)/'Stats &amp; 3-Sigma Control Bounds'!$C$9</f>
        <v/>
      </c>
      <c r="H141" s="14">
        <f>IF(F141="🚨 ANOMALY SPIKE", "IMMEDIATE ESCALATION TO ENGINEERING", IF(F141="💳 CREDIT", "AUDIT CREDIT ALLOCATION", "APPROVED USAGE"))</f>
        <v/>
      </c>
    </row>
    <row r="142">
      <c r="A142" s="13">
        <f>'Master Cleaned Data Pipeline'!A137</f>
        <v/>
      </c>
      <c r="B142" s="13">
        <f>'Master Cleaned Data Pipeline'!B137</f>
        <v/>
      </c>
      <c r="C142" s="14">
        <f>'Master Cleaned Data Pipeline'!I137</f>
        <v/>
      </c>
      <c r="D142" s="14">
        <f>'Master Cleaned Data Pipeline'!F137</f>
        <v/>
      </c>
      <c r="E142" s="15">
        <f>'Master Cleaned Data Pipeline'!G137</f>
        <v/>
      </c>
      <c r="F142" s="13">
        <f>IF(E142&gt;'Stats &amp; 3-Sigma Control Bounds'!$C$21, "🚨 ANOMALY SPIKE", IF(E142&lt;0, "💳 CREDIT", "NORMAL"))</f>
        <v/>
      </c>
      <c r="G142" s="16">
        <f>(E142-'Stats &amp; 3-Sigma Control Bounds'!$C$6)/'Stats &amp; 3-Sigma Control Bounds'!$C$9</f>
        <v/>
      </c>
      <c r="H142" s="14">
        <f>IF(F142="🚨 ANOMALY SPIKE", "IMMEDIATE ESCALATION TO ENGINEERING", IF(F142="💳 CREDIT", "AUDIT CREDIT ALLOCATION", "APPROVED USAGE"))</f>
        <v/>
      </c>
    </row>
    <row r="143">
      <c r="A143" s="13">
        <f>'Master Cleaned Data Pipeline'!A138</f>
        <v/>
      </c>
      <c r="B143" s="13">
        <f>'Master Cleaned Data Pipeline'!B138</f>
        <v/>
      </c>
      <c r="C143" s="14">
        <f>'Master Cleaned Data Pipeline'!I138</f>
        <v/>
      </c>
      <c r="D143" s="14">
        <f>'Master Cleaned Data Pipeline'!F138</f>
        <v/>
      </c>
      <c r="E143" s="15">
        <f>'Master Cleaned Data Pipeline'!G138</f>
        <v/>
      </c>
      <c r="F143" s="13">
        <f>IF(E143&gt;'Stats &amp; 3-Sigma Control Bounds'!$C$21, "🚨 ANOMALY SPIKE", IF(E143&lt;0, "💳 CREDIT", "NORMAL"))</f>
        <v/>
      </c>
      <c r="G143" s="16">
        <f>(E143-'Stats &amp; 3-Sigma Control Bounds'!$C$6)/'Stats &amp; 3-Sigma Control Bounds'!$C$9</f>
        <v/>
      </c>
      <c r="H143" s="14">
        <f>IF(F143="🚨 ANOMALY SPIKE", "IMMEDIATE ESCALATION TO ENGINEERING", IF(F143="💳 CREDIT", "AUDIT CREDIT ALLOCATION", "APPROVED USAGE"))</f>
        <v/>
      </c>
    </row>
    <row r="144">
      <c r="A144" s="13">
        <f>'Master Cleaned Data Pipeline'!A139</f>
        <v/>
      </c>
      <c r="B144" s="13">
        <f>'Master Cleaned Data Pipeline'!B139</f>
        <v/>
      </c>
      <c r="C144" s="14">
        <f>'Master Cleaned Data Pipeline'!I139</f>
        <v/>
      </c>
      <c r="D144" s="14">
        <f>'Master Cleaned Data Pipeline'!F139</f>
        <v/>
      </c>
      <c r="E144" s="15">
        <f>'Master Cleaned Data Pipeline'!G139</f>
        <v/>
      </c>
      <c r="F144" s="13">
        <f>IF(E144&gt;'Stats &amp; 3-Sigma Control Bounds'!$C$21, "🚨 ANOMALY SPIKE", IF(E144&lt;0, "💳 CREDIT", "NORMAL"))</f>
        <v/>
      </c>
      <c r="G144" s="16">
        <f>(E144-'Stats &amp; 3-Sigma Control Bounds'!$C$6)/'Stats &amp; 3-Sigma Control Bounds'!$C$9</f>
        <v/>
      </c>
      <c r="H144" s="14">
        <f>IF(F144="🚨 ANOMALY SPIKE", "IMMEDIATE ESCALATION TO ENGINEERING", IF(F144="💳 CREDIT", "AUDIT CREDIT ALLOCATION", "APPROVED USAGE"))</f>
        <v/>
      </c>
    </row>
    <row r="145">
      <c r="A145" s="13">
        <f>'Master Cleaned Data Pipeline'!A140</f>
        <v/>
      </c>
      <c r="B145" s="13">
        <f>'Master Cleaned Data Pipeline'!B140</f>
        <v/>
      </c>
      <c r="C145" s="14">
        <f>'Master Cleaned Data Pipeline'!I140</f>
        <v/>
      </c>
      <c r="D145" s="14">
        <f>'Master Cleaned Data Pipeline'!F140</f>
        <v/>
      </c>
      <c r="E145" s="15">
        <f>'Master Cleaned Data Pipeline'!G140</f>
        <v/>
      </c>
      <c r="F145" s="13">
        <f>IF(E145&gt;'Stats &amp; 3-Sigma Control Bounds'!$C$21, "🚨 ANOMALY SPIKE", IF(E145&lt;0, "💳 CREDIT", "NORMAL"))</f>
        <v/>
      </c>
      <c r="G145" s="16">
        <f>(E145-'Stats &amp; 3-Sigma Control Bounds'!$C$6)/'Stats &amp; 3-Sigma Control Bounds'!$C$9</f>
        <v/>
      </c>
      <c r="H145" s="14">
        <f>IF(F145="🚨 ANOMALY SPIKE", "IMMEDIATE ESCALATION TO ENGINEERING", IF(F145="💳 CREDIT", "AUDIT CREDIT ALLOCATION", "APPROVED USAGE"))</f>
        <v/>
      </c>
    </row>
    <row r="146">
      <c r="A146" s="13">
        <f>'Master Cleaned Data Pipeline'!A141</f>
        <v/>
      </c>
      <c r="B146" s="13">
        <f>'Master Cleaned Data Pipeline'!B141</f>
        <v/>
      </c>
      <c r="C146" s="14">
        <f>'Master Cleaned Data Pipeline'!I141</f>
        <v/>
      </c>
      <c r="D146" s="14">
        <f>'Master Cleaned Data Pipeline'!F141</f>
        <v/>
      </c>
      <c r="E146" s="15">
        <f>'Master Cleaned Data Pipeline'!G141</f>
        <v/>
      </c>
      <c r="F146" s="13">
        <f>IF(E146&gt;'Stats &amp; 3-Sigma Control Bounds'!$C$21, "🚨 ANOMALY SPIKE", IF(E146&lt;0, "💳 CREDIT", "NORMAL"))</f>
        <v/>
      </c>
      <c r="G146" s="16">
        <f>(E146-'Stats &amp; 3-Sigma Control Bounds'!$C$6)/'Stats &amp; 3-Sigma Control Bounds'!$C$9</f>
        <v/>
      </c>
      <c r="H146" s="14">
        <f>IF(F146="🚨 ANOMALY SPIKE", "IMMEDIATE ESCALATION TO ENGINEERING", IF(F146="💳 CREDIT", "AUDIT CREDIT ALLOCATION", "APPROVED USAGE"))</f>
        <v/>
      </c>
    </row>
    <row r="147">
      <c r="A147" s="13">
        <f>'Master Cleaned Data Pipeline'!A142</f>
        <v/>
      </c>
      <c r="B147" s="13">
        <f>'Master Cleaned Data Pipeline'!B142</f>
        <v/>
      </c>
      <c r="C147" s="14">
        <f>'Master Cleaned Data Pipeline'!I142</f>
        <v/>
      </c>
      <c r="D147" s="14">
        <f>'Master Cleaned Data Pipeline'!F142</f>
        <v/>
      </c>
      <c r="E147" s="15">
        <f>'Master Cleaned Data Pipeline'!G142</f>
        <v/>
      </c>
      <c r="F147" s="13">
        <f>IF(E147&gt;'Stats &amp; 3-Sigma Control Bounds'!$C$21, "🚨 ANOMALY SPIKE", IF(E147&lt;0, "💳 CREDIT", "NORMAL"))</f>
        <v/>
      </c>
      <c r="G147" s="16">
        <f>(E147-'Stats &amp; 3-Sigma Control Bounds'!$C$6)/'Stats &amp; 3-Sigma Control Bounds'!$C$9</f>
        <v/>
      </c>
      <c r="H147" s="14">
        <f>IF(F147="🚨 ANOMALY SPIKE", "IMMEDIATE ESCALATION TO ENGINEERING", IF(F147="💳 CREDIT", "AUDIT CREDIT ALLOCATION", "APPROVED USAGE"))</f>
        <v/>
      </c>
    </row>
    <row r="148">
      <c r="A148" s="13">
        <f>'Master Cleaned Data Pipeline'!A143</f>
        <v/>
      </c>
      <c r="B148" s="13">
        <f>'Master Cleaned Data Pipeline'!B143</f>
        <v/>
      </c>
      <c r="C148" s="14">
        <f>'Master Cleaned Data Pipeline'!I143</f>
        <v/>
      </c>
      <c r="D148" s="14">
        <f>'Master Cleaned Data Pipeline'!F143</f>
        <v/>
      </c>
      <c r="E148" s="15">
        <f>'Master Cleaned Data Pipeline'!G143</f>
        <v/>
      </c>
      <c r="F148" s="13">
        <f>IF(E148&gt;'Stats &amp; 3-Sigma Control Bounds'!$C$21, "🚨 ANOMALY SPIKE", IF(E148&lt;0, "💳 CREDIT", "NORMAL"))</f>
        <v/>
      </c>
      <c r="G148" s="16">
        <f>(E148-'Stats &amp; 3-Sigma Control Bounds'!$C$6)/'Stats &amp; 3-Sigma Control Bounds'!$C$9</f>
        <v/>
      </c>
      <c r="H148" s="14">
        <f>IF(F148="🚨 ANOMALY SPIKE", "IMMEDIATE ESCALATION TO ENGINEERING", IF(F148="💳 CREDIT", "AUDIT CREDIT ALLOCATION", "APPROVED USAGE"))</f>
        <v/>
      </c>
    </row>
    <row r="149">
      <c r="A149" s="13">
        <f>'Master Cleaned Data Pipeline'!A144</f>
        <v/>
      </c>
      <c r="B149" s="13">
        <f>'Master Cleaned Data Pipeline'!B144</f>
        <v/>
      </c>
      <c r="C149" s="14">
        <f>'Master Cleaned Data Pipeline'!I144</f>
        <v/>
      </c>
      <c r="D149" s="14">
        <f>'Master Cleaned Data Pipeline'!F144</f>
        <v/>
      </c>
      <c r="E149" s="15">
        <f>'Master Cleaned Data Pipeline'!G144</f>
        <v/>
      </c>
      <c r="F149" s="13">
        <f>IF(E149&gt;'Stats &amp; 3-Sigma Control Bounds'!$C$21, "🚨 ANOMALY SPIKE", IF(E149&lt;0, "💳 CREDIT", "NORMAL"))</f>
        <v/>
      </c>
      <c r="G149" s="16">
        <f>(E149-'Stats &amp; 3-Sigma Control Bounds'!$C$6)/'Stats &amp; 3-Sigma Control Bounds'!$C$9</f>
        <v/>
      </c>
      <c r="H149" s="14">
        <f>IF(F149="🚨 ANOMALY SPIKE", "IMMEDIATE ESCALATION TO ENGINEERING", IF(F149="💳 CREDIT", "AUDIT CREDIT ALLOCATION", "APPROVED USAGE"))</f>
        <v/>
      </c>
    </row>
    <row r="150">
      <c r="A150" s="13">
        <f>'Master Cleaned Data Pipeline'!A145</f>
        <v/>
      </c>
      <c r="B150" s="13">
        <f>'Master Cleaned Data Pipeline'!B145</f>
        <v/>
      </c>
      <c r="C150" s="14">
        <f>'Master Cleaned Data Pipeline'!I145</f>
        <v/>
      </c>
      <c r="D150" s="14">
        <f>'Master Cleaned Data Pipeline'!F145</f>
        <v/>
      </c>
      <c r="E150" s="15">
        <f>'Master Cleaned Data Pipeline'!G145</f>
        <v/>
      </c>
      <c r="F150" s="13">
        <f>IF(E150&gt;'Stats &amp; 3-Sigma Control Bounds'!$C$21, "🚨 ANOMALY SPIKE", IF(E150&lt;0, "💳 CREDIT", "NORMAL"))</f>
        <v/>
      </c>
      <c r="G150" s="16">
        <f>(E150-'Stats &amp; 3-Sigma Control Bounds'!$C$6)/'Stats &amp; 3-Sigma Control Bounds'!$C$9</f>
        <v/>
      </c>
      <c r="H150" s="14">
        <f>IF(F150="🚨 ANOMALY SPIKE", "IMMEDIATE ESCALATION TO ENGINEERING", IF(F150="💳 CREDIT", "AUDIT CREDIT ALLOCATION", "APPROVED USAGE"))</f>
        <v/>
      </c>
    </row>
    <row r="151">
      <c r="A151" s="13">
        <f>'Master Cleaned Data Pipeline'!A146</f>
        <v/>
      </c>
      <c r="B151" s="13">
        <f>'Master Cleaned Data Pipeline'!B146</f>
        <v/>
      </c>
      <c r="C151" s="14">
        <f>'Master Cleaned Data Pipeline'!I146</f>
        <v/>
      </c>
      <c r="D151" s="14">
        <f>'Master Cleaned Data Pipeline'!F146</f>
        <v/>
      </c>
      <c r="E151" s="15">
        <f>'Master Cleaned Data Pipeline'!G146</f>
        <v/>
      </c>
      <c r="F151" s="13">
        <f>IF(E151&gt;'Stats &amp; 3-Sigma Control Bounds'!$C$21, "🚨 ANOMALY SPIKE", IF(E151&lt;0, "💳 CREDIT", "NORMAL"))</f>
        <v/>
      </c>
      <c r="G151" s="16">
        <f>(E151-'Stats &amp; 3-Sigma Control Bounds'!$C$6)/'Stats &amp; 3-Sigma Control Bounds'!$C$9</f>
        <v/>
      </c>
      <c r="H151" s="14">
        <f>IF(F151="🚨 ANOMALY SPIKE", "IMMEDIATE ESCALATION TO ENGINEERING", IF(F151="💳 CREDIT", "AUDIT CREDIT ALLOCATION", "APPROVED USAGE"))</f>
        <v/>
      </c>
    </row>
    <row r="152">
      <c r="A152" s="13">
        <f>'Master Cleaned Data Pipeline'!A147</f>
        <v/>
      </c>
      <c r="B152" s="13">
        <f>'Master Cleaned Data Pipeline'!B147</f>
        <v/>
      </c>
      <c r="C152" s="14">
        <f>'Master Cleaned Data Pipeline'!I147</f>
        <v/>
      </c>
      <c r="D152" s="14">
        <f>'Master Cleaned Data Pipeline'!F147</f>
        <v/>
      </c>
      <c r="E152" s="15">
        <f>'Master Cleaned Data Pipeline'!G147</f>
        <v/>
      </c>
      <c r="F152" s="13">
        <f>IF(E152&gt;'Stats &amp; 3-Sigma Control Bounds'!$C$21, "🚨 ANOMALY SPIKE", IF(E152&lt;0, "💳 CREDIT", "NORMAL"))</f>
        <v/>
      </c>
      <c r="G152" s="16">
        <f>(E152-'Stats &amp; 3-Sigma Control Bounds'!$C$6)/'Stats &amp; 3-Sigma Control Bounds'!$C$9</f>
        <v/>
      </c>
      <c r="H152" s="14">
        <f>IF(F152="🚨 ANOMALY SPIKE", "IMMEDIATE ESCALATION TO ENGINEERING", IF(F152="💳 CREDIT", "AUDIT CREDIT ALLOCATION", "APPROVED USAGE"))</f>
        <v/>
      </c>
    </row>
    <row r="153">
      <c r="A153" s="13">
        <f>'Master Cleaned Data Pipeline'!A148</f>
        <v/>
      </c>
      <c r="B153" s="13">
        <f>'Master Cleaned Data Pipeline'!B148</f>
        <v/>
      </c>
      <c r="C153" s="14">
        <f>'Master Cleaned Data Pipeline'!I148</f>
        <v/>
      </c>
      <c r="D153" s="14">
        <f>'Master Cleaned Data Pipeline'!F148</f>
        <v/>
      </c>
      <c r="E153" s="15">
        <f>'Master Cleaned Data Pipeline'!G148</f>
        <v/>
      </c>
      <c r="F153" s="13">
        <f>IF(E153&gt;'Stats &amp; 3-Sigma Control Bounds'!$C$21, "🚨 ANOMALY SPIKE", IF(E153&lt;0, "💳 CREDIT", "NORMAL"))</f>
        <v/>
      </c>
      <c r="G153" s="16">
        <f>(E153-'Stats &amp; 3-Sigma Control Bounds'!$C$6)/'Stats &amp; 3-Sigma Control Bounds'!$C$9</f>
        <v/>
      </c>
      <c r="H153" s="14">
        <f>IF(F153="🚨 ANOMALY SPIKE", "IMMEDIATE ESCALATION TO ENGINEERING", IF(F153="💳 CREDIT", "AUDIT CREDIT ALLOCATION", "APPROVED USAGE"))</f>
        <v/>
      </c>
    </row>
    <row r="154">
      <c r="A154" s="13">
        <f>'Master Cleaned Data Pipeline'!A149</f>
        <v/>
      </c>
      <c r="B154" s="13">
        <f>'Master Cleaned Data Pipeline'!B149</f>
        <v/>
      </c>
      <c r="C154" s="14">
        <f>'Master Cleaned Data Pipeline'!I149</f>
        <v/>
      </c>
      <c r="D154" s="14">
        <f>'Master Cleaned Data Pipeline'!F149</f>
        <v/>
      </c>
      <c r="E154" s="15">
        <f>'Master Cleaned Data Pipeline'!G149</f>
        <v/>
      </c>
      <c r="F154" s="13">
        <f>IF(E154&gt;'Stats &amp; 3-Sigma Control Bounds'!$C$21, "🚨 ANOMALY SPIKE", IF(E154&lt;0, "💳 CREDIT", "NORMAL"))</f>
        <v/>
      </c>
      <c r="G154" s="16">
        <f>(E154-'Stats &amp; 3-Sigma Control Bounds'!$C$6)/'Stats &amp; 3-Sigma Control Bounds'!$C$9</f>
        <v/>
      </c>
      <c r="H154" s="14">
        <f>IF(F154="🚨 ANOMALY SPIKE", "IMMEDIATE ESCALATION TO ENGINEERING", IF(F154="💳 CREDIT", "AUDIT CREDIT ALLOCATION", "APPROVED USAGE"))</f>
        <v/>
      </c>
    </row>
    <row r="155">
      <c r="A155" s="13">
        <f>'Master Cleaned Data Pipeline'!A150</f>
        <v/>
      </c>
      <c r="B155" s="13">
        <f>'Master Cleaned Data Pipeline'!B150</f>
        <v/>
      </c>
      <c r="C155" s="14">
        <f>'Master Cleaned Data Pipeline'!I150</f>
        <v/>
      </c>
      <c r="D155" s="14">
        <f>'Master Cleaned Data Pipeline'!F150</f>
        <v/>
      </c>
      <c r="E155" s="15">
        <f>'Master Cleaned Data Pipeline'!G150</f>
        <v/>
      </c>
      <c r="F155" s="13">
        <f>IF(E155&gt;'Stats &amp; 3-Sigma Control Bounds'!$C$21, "🚨 ANOMALY SPIKE", IF(E155&lt;0, "💳 CREDIT", "NORMAL"))</f>
        <v/>
      </c>
      <c r="G155" s="16">
        <f>(E155-'Stats &amp; 3-Sigma Control Bounds'!$C$6)/'Stats &amp; 3-Sigma Control Bounds'!$C$9</f>
        <v/>
      </c>
      <c r="H155" s="14">
        <f>IF(F155="🚨 ANOMALY SPIKE", "IMMEDIATE ESCALATION TO ENGINEERING", IF(F155="💳 CREDIT", "AUDIT CREDIT ALLOCATION", "APPROVED USAGE"))</f>
        <v/>
      </c>
    </row>
    <row r="156">
      <c r="A156" s="13">
        <f>'Master Cleaned Data Pipeline'!A151</f>
        <v/>
      </c>
      <c r="B156" s="13">
        <f>'Master Cleaned Data Pipeline'!B151</f>
        <v/>
      </c>
      <c r="C156" s="14">
        <f>'Master Cleaned Data Pipeline'!I151</f>
        <v/>
      </c>
      <c r="D156" s="14">
        <f>'Master Cleaned Data Pipeline'!F151</f>
        <v/>
      </c>
      <c r="E156" s="15">
        <f>'Master Cleaned Data Pipeline'!G151</f>
        <v/>
      </c>
      <c r="F156" s="13">
        <f>IF(E156&gt;'Stats &amp; 3-Sigma Control Bounds'!$C$21, "🚨 ANOMALY SPIKE", IF(E156&lt;0, "💳 CREDIT", "NORMAL"))</f>
        <v/>
      </c>
      <c r="G156" s="16">
        <f>(E156-'Stats &amp; 3-Sigma Control Bounds'!$C$6)/'Stats &amp; 3-Sigma Control Bounds'!$C$9</f>
        <v/>
      </c>
      <c r="H156" s="14">
        <f>IF(F156="🚨 ANOMALY SPIKE", "IMMEDIATE ESCALATION TO ENGINEERING", IF(F156="💳 CREDIT", "AUDIT CREDIT ALLOCATION", "APPROVED USAGE"))</f>
        <v/>
      </c>
    </row>
    <row r="157">
      <c r="A157" s="13">
        <f>'Master Cleaned Data Pipeline'!A152</f>
        <v/>
      </c>
      <c r="B157" s="13">
        <f>'Master Cleaned Data Pipeline'!B152</f>
        <v/>
      </c>
      <c r="C157" s="14">
        <f>'Master Cleaned Data Pipeline'!I152</f>
        <v/>
      </c>
      <c r="D157" s="14">
        <f>'Master Cleaned Data Pipeline'!F152</f>
        <v/>
      </c>
      <c r="E157" s="15">
        <f>'Master Cleaned Data Pipeline'!G152</f>
        <v/>
      </c>
      <c r="F157" s="13">
        <f>IF(E157&gt;'Stats &amp; 3-Sigma Control Bounds'!$C$21, "🚨 ANOMALY SPIKE", IF(E157&lt;0, "💳 CREDIT", "NORMAL"))</f>
        <v/>
      </c>
      <c r="G157" s="16">
        <f>(E157-'Stats &amp; 3-Sigma Control Bounds'!$C$6)/'Stats &amp; 3-Sigma Control Bounds'!$C$9</f>
        <v/>
      </c>
      <c r="H157" s="14">
        <f>IF(F157="🚨 ANOMALY SPIKE", "IMMEDIATE ESCALATION TO ENGINEERING", IF(F157="💳 CREDIT", "AUDIT CREDIT ALLOCATION", "APPROVED USAGE"))</f>
        <v/>
      </c>
    </row>
    <row r="158">
      <c r="A158" s="13">
        <f>'Master Cleaned Data Pipeline'!A153</f>
        <v/>
      </c>
      <c r="B158" s="13">
        <f>'Master Cleaned Data Pipeline'!B153</f>
        <v/>
      </c>
      <c r="C158" s="14">
        <f>'Master Cleaned Data Pipeline'!I153</f>
        <v/>
      </c>
      <c r="D158" s="14">
        <f>'Master Cleaned Data Pipeline'!F153</f>
        <v/>
      </c>
      <c r="E158" s="15">
        <f>'Master Cleaned Data Pipeline'!G153</f>
        <v/>
      </c>
      <c r="F158" s="13">
        <f>IF(E158&gt;'Stats &amp; 3-Sigma Control Bounds'!$C$21, "🚨 ANOMALY SPIKE", IF(E158&lt;0, "💳 CREDIT", "NORMAL"))</f>
        <v/>
      </c>
      <c r="G158" s="16">
        <f>(E158-'Stats &amp; 3-Sigma Control Bounds'!$C$6)/'Stats &amp; 3-Sigma Control Bounds'!$C$9</f>
        <v/>
      </c>
      <c r="H158" s="14">
        <f>IF(F158="🚨 ANOMALY SPIKE", "IMMEDIATE ESCALATION TO ENGINEERING", IF(F158="💳 CREDIT", "AUDIT CREDIT ALLOCATION", "APPROVED USAGE"))</f>
        <v/>
      </c>
    </row>
    <row r="159">
      <c r="A159" s="13">
        <f>'Master Cleaned Data Pipeline'!A154</f>
        <v/>
      </c>
      <c r="B159" s="13">
        <f>'Master Cleaned Data Pipeline'!B154</f>
        <v/>
      </c>
      <c r="C159" s="14">
        <f>'Master Cleaned Data Pipeline'!I154</f>
        <v/>
      </c>
      <c r="D159" s="14">
        <f>'Master Cleaned Data Pipeline'!F154</f>
        <v/>
      </c>
      <c r="E159" s="15">
        <f>'Master Cleaned Data Pipeline'!G154</f>
        <v/>
      </c>
      <c r="F159" s="13">
        <f>IF(E159&gt;'Stats &amp; 3-Sigma Control Bounds'!$C$21, "🚨 ANOMALY SPIKE", IF(E159&lt;0, "💳 CREDIT", "NORMAL"))</f>
        <v/>
      </c>
      <c r="G159" s="16">
        <f>(E159-'Stats &amp; 3-Sigma Control Bounds'!$C$6)/'Stats &amp; 3-Sigma Control Bounds'!$C$9</f>
        <v/>
      </c>
      <c r="H159" s="14">
        <f>IF(F159="🚨 ANOMALY SPIKE", "IMMEDIATE ESCALATION TO ENGINEERING", IF(F159="💳 CREDIT", "AUDIT CREDIT ALLOCATION", "APPROVED USAGE"))</f>
        <v/>
      </c>
    </row>
    <row r="160">
      <c r="A160" s="13">
        <f>'Master Cleaned Data Pipeline'!A155</f>
        <v/>
      </c>
      <c r="B160" s="13">
        <f>'Master Cleaned Data Pipeline'!B155</f>
        <v/>
      </c>
      <c r="C160" s="14">
        <f>'Master Cleaned Data Pipeline'!I155</f>
        <v/>
      </c>
      <c r="D160" s="14">
        <f>'Master Cleaned Data Pipeline'!F155</f>
        <v/>
      </c>
      <c r="E160" s="15">
        <f>'Master Cleaned Data Pipeline'!G155</f>
        <v/>
      </c>
      <c r="F160" s="13">
        <f>IF(E160&gt;'Stats &amp; 3-Sigma Control Bounds'!$C$21, "🚨 ANOMALY SPIKE", IF(E160&lt;0, "💳 CREDIT", "NORMAL"))</f>
        <v/>
      </c>
      <c r="G160" s="16">
        <f>(E160-'Stats &amp; 3-Sigma Control Bounds'!$C$6)/'Stats &amp; 3-Sigma Control Bounds'!$C$9</f>
        <v/>
      </c>
      <c r="H160" s="14">
        <f>IF(F160="🚨 ANOMALY SPIKE", "IMMEDIATE ESCALATION TO ENGINEERING", IF(F160="💳 CREDIT", "AUDIT CREDIT ALLOCATION", "APPROVED USAGE"))</f>
        <v/>
      </c>
    </row>
    <row r="161">
      <c r="A161" s="13">
        <f>'Master Cleaned Data Pipeline'!A156</f>
        <v/>
      </c>
      <c r="B161" s="13">
        <f>'Master Cleaned Data Pipeline'!B156</f>
        <v/>
      </c>
      <c r="C161" s="14">
        <f>'Master Cleaned Data Pipeline'!I156</f>
        <v/>
      </c>
      <c r="D161" s="14">
        <f>'Master Cleaned Data Pipeline'!F156</f>
        <v/>
      </c>
      <c r="E161" s="15">
        <f>'Master Cleaned Data Pipeline'!G156</f>
        <v/>
      </c>
      <c r="F161" s="13">
        <f>IF(E161&gt;'Stats &amp; 3-Sigma Control Bounds'!$C$21, "🚨 ANOMALY SPIKE", IF(E161&lt;0, "💳 CREDIT", "NORMAL"))</f>
        <v/>
      </c>
      <c r="G161" s="16">
        <f>(E161-'Stats &amp; 3-Sigma Control Bounds'!$C$6)/'Stats &amp; 3-Sigma Control Bounds'!$C$9</f>
        <v/>
      </c>
      <c r="H161" s="14">
        <f>IF(F161="🚨 ANOMALY SPIKE", "IMMEDIATE ESCALATION TO ENGINEERING", IF(F161="💳 CREDIT", "AUDIT CREDIT ALLOCATION", "APPROVED USAGE"))</f>
        <v/>
      </c>
    </row>
    <row r="162">
      <c r="A162" s="13">
        <f>'Master Cleaned Data Pipeline'!A157</f>
        <v/>
      </c>
      <c r="B162" s="13">
        <f>'Master Cleaned Data Pipeline'!B157</f>
        <v/>
      </c>
      <c r="C162" s="14">
        <f>'Master Cleaned Data Pipeline'!I157</f>
        <v/>
      </c>
      <c r="D162" s="14">
        <f>'Master Cleaned Data Pipeline'!F157</f>
        <v/>
      </c>
      <c r="E162" s="15">
        <f>'Master Cleaned Data Pipeline'!G157</f>
        <v/>
      </c>
      <c r="F162" s="13">
        <f>IF(E162&gt;'Stats &amp; 3-Sigma Control Bounds'!$C$21, "🚨 ANOMALY SPIKE", IF(E162&lt;0, "💳 CREDIT", "NORMAL"))</f>
        <v/>
      </c>
      <c r="G162" s="16">
        <f>(E162-'Stats &amp; 3-Sigma Control Bounds'!$C$6)/'Stats &amp; 3-Sigma Control Bounds'!$C$9</f>
        <v/>
      </c>
      <c r="H162" s="14">
        <f>IF(F162="🚨 ANOMALY SPIKE", "IMMEDIATE ESCALATION TO ENGINEERING", IF(F162="💳 CREDIT", "AUDIT CREDIT ALLOCATION", "APPROVED USAGE"))</f>
        <v/>
      </c>
    </row>
    <row r="163">
      <c r="A163" s="13">
        <f>'Master Cleaned Data Pipeline'!A158</f>
        <v/>
      </c>
      <c r="B163" s="13">
        <f>'Master Cleaned Data Pipeline'!B158</f>
        <v/>
      </c>
      <c r="C163" s="14">
        <f>'Master Cleaned Data Pipeline'!I158</f>
        <v/>
      </c>
      <c r="D163" s="14">
        <f>'Master Cleaned Data Pipeline'!F158</f>
        <v/>
      </c>
      <c r="E163" s="15">
        <f>'Master Cleaned Data Pipeline'!G158</f>
        <v/>
      </c>
      <c r="F163" s="13">
        <f>IF(E163&gt;'Stats &amp; 3-Sigma Control Bounds'!$C$21, "🚨 ANOMALY SPIKE", IF(E163&lt;0, "💳 CREDIT", "NORMAL"))</f>
        <v/>
      </c>
      <c r="G163" s="16">
        <f>(E163-'Stats &amp; 3-Sigma Control Bounds'!$C$6)/'Stats &amp; 3-Sigma Control Bounds'!$C$9</f>
        <v/>
      </c>
      <c r="H163" s="14">
        <f>IF(F163="🚨 ANOMALY SPIKE", "IMMEDIATE ESCALATION TO ENGINEERING", IF(F163="💳 CREDIT", "AUDIT CREDIT ALLOCATION", "APPROVED USAGE"))</f>
        <v/>
      </c>
    </row>
    <row r="164">
      <c r="A164" s="13">
        <f>'Master Cleaned Data Pipeline'!A159</f>
        <v/>
      </c>
      <c r="B164" s="13">
        <f>'Master Cleaned Data Pipeline'!B159</f>
        <v/>
      </c>
      <c r="C164" s="14">
        <f>'Master Cleaned Data Pipeline'!I159</f>
        <v/>
      </c>
      <c r="D164" s="14">
        <f>'Master Cleaned Data Pipeline'!F159</f>
        <v/>
      </c>
      <c r="E164" s="15">
        <f>'Master Cleaned Data Pipeline'!G159</f>
        <v/>
      </c>
      <c r="F164" s="13">
        <f>IF(E164&gt;'Stats &amp; 3-Sigma Control Bounds'!$C$21, "🚨 ANOMALY SPIKE", IF(E164&lt;0, "💳 CREDIT", "NORMAL"))</f>
        <v/>
      </c>
      <c r="G164" s="16">
        <f>(E164-'Stats &amp; 3-Sigma Control Bounds'!$C$6)/'Stats &amp; 3-Sigma Control Bounds'!$C$9</f>
        <v/>
      </c>
      <c r="H164" s="14">
        <f>IF(F164="🚨 ANOMALY SPIKE", "IMMEDIATE ESCALATION TO ENGINEERING", IF(F164="💳 CREDIT", "AUDIT CREDIT ALLOCATION", "APPROVED USAGE"))</f>
        <v/>
      </c>
    </row>
    <row r="165">
      <c r="A165" s="13">
        <f>'Master Cleaned Data Pipeline'!A160</f>
        <v/>
      </c>
      <c r="B165" s="13">
        <f>'Master Cleaned Data Pipeline'!B160</f>
        <v/>
      </c>
      <c r="C165" s="14">
        <f>'Master Cleaned Data Pipeline'!I160</f>
        <v/>
      </c>
      <c r="D165" s="14">
        <f>'Master Cleaned Data Pipeline'!F160</f>
        <v/>
      </c>
      <c r="E165" s="15">
        <f>'Master Cleaned Data Pipeline'!G160</f>
        <v/>
      </c>
      <c r="F165" s="13">
        <f>IF(E165&gt;'Stats &amp; 3-Sigma Control Bounds'!$C$21, "🚨 ANOMALY SPIKE", IF(E165&lt;0, "💳 CREDIT", "NORMAL"))</f>
        <v/>
      </c>
      <c r="G165" s="16">
        <f>(E165-'Stats &amp; 3-Sigma Control Bounds'!$C$6)/'Stats &amp; 3-Sigma Control Bounds'!$C$9</f>
        <v/>
      </c>
      <c r="H165" s="14">
        <f>IF(F165="🚨 ANOMALY SPIKE", "IMMEDIATE ESCALATION TO ENGINEERING", IF(F165="💳 CREDIT", "AUDIT CREDIT ALLOCATION", "APPROVED USAGE"))</f>
        <v/>
      </c>
    </row>
    <row r="166">
      <c r="A166" s="13">
        <f>'Master Cleaned Data Pipeline'!A161</f>
        <v/>
      </c>
      <c r="B166" s="13">
        <f>'Master Cleaned Data Pipeline'!B161</f>
        <v/>
      </c>
      <c r="C166" s="14">
        <f>'Master Cleaned Data Pipeline'!I161</f>
        <v/>
      </c>
      <c r="D166" s="14">
        <f>'Master Cleaned Data Pipeline'!F161</f>
        <v/>
      </c>
      <c r="E166" s="15">
        <f>'Master Cleaned Data Pipeline'!G161</f>
        <v/>
      </c>
      <c r="F166" s="13">
        <f>IF(E166&gt;'Stats &amp; 3-Sigma Control Bounds'!$C$21, "🚨 ANOMALY SPIKE", IF(E166&lt;0, "💳 CREDIT", "NORMAL"))</f>
        <v/>
      </c>
      <c r="G166" s="16">
        <f>(E166-'Stats &amp; 3-Sigma Control Bounds'!$C$6)/'Stats &amp; 3-Sigma Control Bounds'!$C$9</f>
        <v/>
      </c>
      <c r="H166" s="14">
        <f>IF(F166="🚨 ANOMALY SPIKE", "IMMEDIATE ESCALATION TO ENGINEERING", IF(F166="💳 CREDIT", "AUDIT CREDIT ALLOCATION", "APPROVED USAGE"))</f>
        <v/>
      </c>
    </row>
    <row r="167">
      <c r="A167" s="13">
        <f>'Master Cleaned Data Pipeline'!A162</f>
        <v/>
      </c>
      <c r="B167" s="13">
        <f>'Master Cleaned Data Pipeline'!B162</f>
        <v/>
      </c>
      <c r="C167" s="14">
        <f>'Master Cleaned Data Pipeline'!I162</f>
        <v/>
      </c>
      <c r="D167" s="14">
        <f>'Master Cleaned Data Pipeline'!F162</f>
        <v/>
      </c>
      <c r="E167" s="15">
        <f>'Master Cleaned Data Pipeline'!G162</f>
        <v/>
      </c>
      <c r="F167" s="13">
        <f>IF(E167&gt;'Stats &amp; 3-Sigma Control Bounds'!$C$21, "🚨 ANOMALY SPIKE", IF(E167&lt;0, "💳 CREDIT", "NORMAL"))</f>
        <v/>
      </c>
      <c r="G167" s="16">
        <f>(E167-'Stats &amp; 3-Sigma Control Bounds'!$C$6)/'Stats &amp; 3-Sigma Control Bounds'!$C$9</f>
        <v/>
      </c>
      <c r="H167" s="14">
        <f>IF(F167="🚨 ANOMALY SPIKE", "IMMEDIATE ESCALATION TO ENGINEERING", IF(F167="💳 CREDIT", "AUDIT CREDIT ALLOCATION", "APPROVED USAGE"))</f>
        <v/>
      </c>
    </row>
    <row r="168">
      <c r="A168" s="13">
        <f>'Master Cleaned Data Pipeline'!A163</f>
        <v/>
      </c>
      <c r="B168" s="13">
        <f>'Master Cleaned Data Pipeline'!B163</f>
        <v/>
      </c>
      <c r="C168" s="14">
        <f>'Master Cleaned Data Pipeline'!I163</f>
        <v/>
      </c>
      <c r="D168" s="14">
        <f>'Master Cleaned Data Pipeline'!F163</f>
        <v/>
      </c>
      <c r="E168" s="15">
        <f>'Master Cleaned Data Pipeline'!G163</f>
        <v/>
      </c>
      <c r="F168" s="13">
        <f>IF(E168&gt;'Stats &amp; 3-Sigma Control Bounds'!$C$21, "🚨 ANOMALY SPIKE", IF(E168&lt;0, "💳 CREDIT", "NORMAL"))</f>
        <v/>
      </c>
      <c r="G168" s="16">
        <f>(E168-'Stats &amp; 3-Sigma Control Bounds'!$C$6)/'Stats &amp; 3-Sigma Control Bounds'!$C$9</f>
        <v/>
      </c>
      <c r="H168" s="14">
        <f>IF(F168="🚨 ANOMALY SPIKE", "IMMEDIATE ESCALATION TO ENGINEERING", IF(F168="💳 CREDIT", "AUDIT CREDIT ALLOCATION", "APPROVED USAGE"))</f>
        <v/>
      </c>
    </row>
    <row r="169">
      <c r="A169" s="13">
        <f>'Master Cleaned Data Pipeline'!A164</f>
        <v/>
      </c>
      <c r="B169" s="13">
        <f>'Master Cleaned Data Pipeline'!B164</f>
        <v/>
      </c>
      <c r="C169" s="14">
        <f>'Master Cleaned Data Pipeline'!I164</f>
        <v/>
      </c>
      <c r="D169" s="14">
        <f>'Master Cleaned Data Pipeline'!F164</f>
        <v/>
      </c>
      <c r="E169" s="15">
        <f>'Master Cleaned Data Pipeline'!G164</f>
        <v/>
      </c>
      <c r="F169" s="13">
        <f>IF(E169&gt;'Stats &amp; 3-Sigma Control Bounds'!$C$21, "🚨 ANOMALY SPIKE", IF(E169&lt;0, "💳 CREDIT", "NORMAL"))</f>
        <v/>
      </c>
      <c r="G169" s="16">
        <f>(E169-'Stats &amp; 3-Sigma Control Bounds'!$C$6)/'Stats &amp; 3-Sigma Control Bounds'!$C$9</f>
        <v/>
      </c>
      <c r="H169" s="14">
        <f>IF(F169="🚨 ANOMALY SPIKE", "IMMEDIATE ESCALATION TO ENGINEERING", IF(F169="💳 CREDIT", "AUDIT CREDIT ALLOCATION", "APPROVED USAGE"))</f>
        <v/>
      </c>
    </row>
    <row r="170">
      <c r="A170" s="13">
        <f>'Master Cleaned Data Pipeline'!A165</f>
        <v/>
      </c>
      <c r="B170" s="13">
        <f>'Master Cleaned Data Pipeline'!B165</f>
        <v/>
      </c>
      <c r="C170" s="14">
        <f>'Master Cleaned Data Pipeline'!I165</f>
        <v/>
      </c>
      <c r="D170" s="14">
        <f>'Master Cleaned Data Pipeline'!F165</f>
        <v/>
      </c>
      <c r="E170" s="15">
        <f>'Master Cleaned Data Pipeline'!G165</f>
        <v/>
      </c>
      <c r="F170" s="13">
        <f>IF(E170&gt;'Stats &amp; 3-Sigma Control Bounds'!$C$21, "🚨 ANOMALY SPIKE", IF(E170&lt;0, "💳 CREDIT", "NORMAL"))</f>
        <v/>
      </c>
      <c r="G170" s="16">
        <f>(E170-'Stats &amp; 3-Sigma Control Bounds'!$C$6)/'Stats &amp; 3-Sigma Control Bounds'!$C$9</f>
        <v/>
      </c>
      <c r="H170" s="14">
        <f>IF(F170="🚨 ANOMALY SPIKE", "IMMEDIATE ESCALATION TO ENGINEERING", IF(F170="💳 CREDIT", "AUDIT CREDIT ALLOCATION", "APPROVED USAGE"))</f>
        <v/>
      </c>
    </row>
    <row r="171">
      <c r="A171" s="13">
        <f>'Master Cleaned Data Pipeline'!A166</f>
        <v/>
      </c>
      <c r="B171" s="13">
        <f>'Master Cleaned Data Pipeline'!B166</f>
        <v/>
      </c>
      <c r="C171" s="14">
        <f>'Master Cleaned Data Pipeline'!I166</f>
        <v/>
      </c>
      <c r="D171" s="14">
        <f>'Master Cleaned Data Pipeline'!F166</f>
        <v/>
      </c>
      <c r="E171" s="15">
        <f>'Master Cleaned Data Pipeline'!G166</f>
        <v/>
      </c>
      <c r="F171" s="13">
        <f>IF(E171&gt;'Stats &amp; 3-Sigma Control Bounds'!$C$21, "🚨 ANOMALY SPIKE", IF(E171&lt;0, "💳 CREDIT", "NORMAL"))</f>
        <v/>
      </c>
      <c r="G171" s="16">
        <f>(E171-'Stats &amp; 3-Sigma Control Bounds'!$C$6)/'Stats &amp; 3-Sigma Control Bounds'!$C$9</f>
        <v/>
      </c>
      <c r="H171" s="14">
        <f>IF(F171="🚨 ANOMALY SPIKE", "IMMEDIATE ESCALATION TO ENGINEERING", IF(F171="💳 CREDIT", "AUDIT CREDIT ALLOCATION", "APPROVED USAGE"))</f>
        <v/>
      </c>
    </row>
    <row r="172">
      <c r="A172" s="13">
        <f>'Master Cleaned Data Pipeline'!A167</f>
        <v/>
      </c>
      <c r="B172" s="13">
        <f>'Master Cleaned Data Pipeline'!B167</f>
        <v/>
      </c>
      <c r="C172" s="14">
        <f>'Master Cleaned Data Pipeline'!I167</f>
        <v/>
      </c>
      <c r="D172" s="14">
        <f>'Master Cleaned Data Pipeline'!F167</f>
        <v/>
      </c>
      <c r="E172" s="15">
        <f>'Master Cleaned Data Pipeline'!G167</f>
        <v/>
      </c>
      <c r="F172" s="13">
        <f>IF(E172&gt;'Stats &amp; 3-Sigma Control Bounds'!$C$21, "🚨 ANOMALY SPIKE", IF(E172&lt;0, "💳 CREDIT", "NORMAL"))</f>
        <v/>
      </c>
      <c r="G172" s="16">
        <f>(E172-'Stats &amp; 3-Sigma Control Bounds'!$C$6)/'Stats &amp; 3-Sigma Control Bounds'!$C$9</f>
        <v/>
      </c>
      <c r="H172" s="14">
        <f>IF(F172="🚨 ANOMALY SPIKE", "IMMEDIATE ESCALATION TO ENGINEERING", IF(F172="💳 CREDIT", "AUDIT CREDIT ALLOCATION", "APPROVED USAGE"))</f>
        <v/>
      </c>
    </row>
    <row r="173">
      <c r="A173" s="13">
        <f>'Master Cleaned Data Pipeline'!A168</f>
        <v/>
      </c>
      <c r="B173" s="13">
        <f>'Master Cleaned Data Pipeline'!B168</f>
        <v/>
      </c>
      <c r="C173" s="14">
        <f>'Master Cleaned Data Pipeline'!I168</f>
        <v/>
      </c>
      <c r="D173" s="14">
        <f>'Master Cleaned Data Pipeline'!F168</f>
        <v/>
      </c>
      <c r="E173" s="15">
        <f>'Master Cleaned Data Pipeline'!G168</f>
        <v/>
      </c>
      <c r="F173" s="13">
        <f>IF(E173&gt;'Stats &amp; 3-Sigma Control Bounds'!$C$21, "🚨 ANOMALY SPIKE", IF(E173&lt;0, "💳 CREDIT", "NORMAL"))</f>
        <v/>
      </c>
      <c r="G173" s="16">
        <f>(E173-'Stats &amp; 3-Sigma Control Bounds'!$C$6)/'Stats &amp; 3-Sigma Control Bounds'!$C$9</f>
        <v/>
      </c>
      <c r="H173" s="14">
        <f>IF(F173="🚨 ANOMALY SPIKE", "IMMEDIATE ESCALATION TO ENGINEERING", IF(F173="💳 CREDIT", "AUDIT CREDIT ALLOCATION", "APPROVED USAGE"))</f>
        <v/>
      </c>
    </row>
    <row r="174">
      <c r="A174" s="13">
        <f>'Master Cleaned Data Pipeline'!A169</f>
        <v/>
      </c>
      <c r="B174" s="13">
        <f>'Master Cleaned Data Pipeline'!B169</f>
        <v/>
      </c>
      <c r="C174" s="14">
        <f>'Master Cleaned Data Pipeline'!I169</f>
        <v/>
      </c>
      <c r="D174" s="14">
        <f>'Master Cleaned Data Pipeline'!F169</f>
        <v/>
      </c>
      <c r="E174" s="15">
        <f>'Master Cleaned Data Pipeline'!G169</f>
        <v/>
      </c>
      <c r="F174" s="13">
        <f>IF(E174&gt;'Stats &amp; 3-Sigma Control Bounds'!$C$21, "🚨 ANOMALY SPIKE", IF(E174&lt;0, "💳 CREDIT", "NORMAL"))</f>
        <v/>
      </c>
      <c r="G174" s="16">
        <f>(E174-'Stats &amp; 3-Sigma Control Bounds'!$C$6)/'Stats &amp; 3-Sigma Control Bounds'!$C$9</f>
        <v/>
      </c>
      <c r="H174" s="14">
        <f>IF(F174="🚨 ANOMALY SPIKE", "IMMEDIATE ESCALATION TO ENGINEERING", IF(F174="💳 CREDIT", "AUDIT CREDIT ALLOCATION", "APPROVED USAGE"))</f>
        <v/>
      </c>
    </row>
    <row r="175">
      <c r="A175" s="13">
        <f>'Master Cleaned Data Pipeline'!A170</f>
        <v/>
      </c>
      <c r="B175" s="13">
        <f>'Master Cleaned Data Pipeline'!B170</f>
        <v/>
      </c>
      <c r="C175" s="14">
        <f>'Master Cleaned Data Pipeline'!I170</f>
        <v/>
      </c>
      <c r="D175" s="14">
        <f>'Master Cleaned Data Pipeline'!F170</f>
        <v/>
      </c>
      <c r="E175" s="15">
        <f>'Master Cleaned Data Pipeline'!G170</f>
        <v/>
      </c>
      <c r="F175" s="13">
        <f>IF(E175&gt;'Stats &amp; 3-Sigma Control Bounds'!$C$21, "🚨 ANOMALY SPIKE", IF(E175&lt;0, "💳 CREDIT", "NORMAL"))</f>
        <v/>
      </c>
      <c r="G175" s="16">
        <f>(E175-'Stats &amp; 3-Sigma Control Bounds'!$C$6)/'Stats &amp; 3-Sigma Control Bounds'!$C$9</f>
        <v/>
      </c>
      <c r="H175" s="14">
        <f>IF(F175="🚨 ANOMALY SPIKE", "IMMEDIATE ESCALATION TO ENGINEERING", IF(F175="💳 CREDIT", "AUDIT CREDIT ALLOCATION", "APPROVED USAGE"))</f>
        <v/>
      </c>
    </row>
    <row r="176">
      <c r="A176" s="13">
        <f>'Master Cleaned Data Pipeline'!A171</f>
        <v/>
      </c>
      <c r="B176" s="13">
        <f>'Master Cleaned Data Pipeline'!B171</f>
        <v/>
      </c>
      <c r="C176" s="14">
        <f>'Master Cleaned Data Pipeline'!I171</f>
        <v/>
      </c>
      <c r="D176" s="14">
        <f>'Master Cleaned Data Pipeline'!F171</f>
        <v/>
      </c>
      <c r="E176" s="15">
        <f>'Master Cleaned Data Pipeline'!G171</f>
        <v/>
      </c>
      <c r="F176" s="13">
        <f>IF(E176&gt;'Stats &amp; 3-Sigma Control Bounds'!$C$21, "🚨 ANOMALY SPIKE", IF(E176&lt;0, "💳 CREDIT", "NORMAL"))</f>
        <v/>
      </c>
      <c r="G176" s="16">
        <f>(E176-'Stats &amp; 3-Sigma Control Bounds'!$C$6)/'Stats &amp; 3-Sigma Control Bounds'!$C$9</f>
        <v/>
      </c>
      <c r="H176" s="14">
        <f>IF(F176="🚨 ANOMALY SPIKE", "IMMEDIATE ESCALATION TO ENGINEERING", IF(F176="💳 CREDIT", "AUDIT CREDIT ALLOCATION", "APPROVED USAGE"))</f>
        <v/>
      </c>
    </row>
    <row r="177">
      <c r="A177" s="13">
        <f>'Master Cleaned Data Pipeline'!A172</f>
        <v/>
      </c>
      <c r="B177" s="13">
        <f>'Master Cleaned Data Pipeline'!B172</f>
        <v/>
      </c>
      <c r="C177" s="14">
        <f>'Master Cleaned Data Pipeline'!I172</f>
        <v/>
      </c>
      <c r="D177" s="14">
        <f>'Master Cleaned Data Pipeline'!F172</f>
        <v/>
      </c>
      <c r="E177" s="15">
        <f>'Master Cleaned Data Pipeline'!G172</f>
        <v/>
      </c>
      <c r="F177" s="13">
        <f>IF(E177&gt;'Stats &amp; 3-Sigma Control Bounds'!$C$21, "🚨 ANOMALY SPIKE", IF(E177&lt;0, "💳 CREDIT", "NORMAL"))</f>
        <v/>
      </c>
      <c r="G177" s="16">
        <f>(E177-'Stats &amp; 3-Sigma Control Bounds'!$C$6)/'Stats &amp; 3-Sigma Control Bounds'!$C$9</f>
        <v/>
      </c>
      <c r="H177" s="14">
        <f>IF(F177="🚨 ANOMALY SPIKE", "IMMEDIATE ESCALATION TO ENGINEERING", IF(F177="💳 CREDIT", "AUDIT CREDIT ALLOCATION", "APPROVED USAGE"))</f>
        <v/>
      </c>
    </row>
    <row r="178">
      <c r="A178" s="13">
        <f>'Master Cleaned Data Pipeline'!A173</f>
        <v/>
      </c>
      <c r="B178" s="13">
        <f>'Master Cleaned Data Pipeline'!B173</f>
        <v/>
      </c>
      <c r="C178" s="14">
        <f>'Master Cleaned Data Pipeline'!I173</f>
        <v/>
      </c>
      <c r="D178" s="14">
        <f>'Master Cleaned Data Pipeline'!F173</f>
        <v/>
      </c>
      <c r="E178" s="15">
        <f>'Master Cleaned Data Pipeline'!G173</f>
        <v/>
      </c>
      <c r="F178" s="13">
        <f>IF(E178&gt;'Stats &amp; 3-Sigma Control Bounds'!$C$21, "🚨 ANOMALY SPIKE", IF(E178&lt;0, "💳 CREDIT", "NORMAL"))</f>
        <v/>
      </c>
      <c r="G178" s="16">
        <f>(E178-'Stats &amp; 3-Sigma Control Bounds'!$C$6)/'Stats &amp; 3-Sigma Control Bounds'!$C$9</f>
        <v/>
      </c>
      <c r="H178" s="14">
        <f>IF(F178="🚨 ANOMALY SPIKE", "IMMEDIATE ESCALATION TO ENGINEERING", IF(F178="💳 CREDIT", "AUDIT CREDIT ALLOCATION", "APPROVED USAGE"))</f>
        <v/>
      </c>
    </row>
    <row r="179">
      <c r="A179" s="13">
        <f>'Master Cleaned Data Pipeline'!A174</f>
        <v/>
      </c>
      <c r="B179" s="13">
        <f>'Master Cleaned Data Pipeline'!B174</f>
        <v/>
      </c>
      <c r="C179" s="14">
        <f>'Master Cleaned Data Pipeline'!I174</f>
        <v/>
      </c>
      <c r="D179" s="14">
        <f>'Master Cleaned Data Pipeline'!F174</f>
        <v/>
      </c>
      <c r="E179" s="15">
        <f>'Master Cleaned Data Pipeline'!G174</f>
        <v/>
      </c>
      <c r="F179" s="13">
        <f>IF(E179&gt;'Stats &amp; 3-Sigma Control Bounds'!$C$21, "🚨 ANOMALY SPIKE", IF(E179&lt;0, "💳 CREDIT", "NORMAL"))</f>
        <v/>
      </c>
      <c r="G179" s="16">
        <f>(E179-'Stats &amp; 3-Sigma Control Bounds'!$C$6)/'Stats &amp; 3-Sigma Control Bounds'!$C$9</f>
        <v/>
      </c>
      <c r="H179" s="14">
        <f>IF(F179="🚨 ANOMALY SPIKE", "IMMEDIATE ESCALATION TO ENGINEERING", IF(F179="💳 CREDIT", "AUDIT CREDIT ALLOCATION", "APPROVED USAGE"))</f>
        <v/>
      </c>
    </row>
    <row r="180">
      <c r="A180" s="13">
        <f>'Master Cleaned Data Pipeline'!A175</f>
        <v/>
      </c>
      <c r="B180" s="13">
        <f>'Master Cleaned Data Pipeline'!B175</f>
        <v/>
      </c>
      <c r="C180" s="14">
        <f>'Master Cleaned Data Pipeline'!I175</f>
        <v/>
      </c>
      <c r="D180" s="14">
        <f>'Master Cleaned Data Pipeline'!F175</f>
        <v/>
      </c>
      <c r="E180" s="15">
        <f>'Master Cleaned Data Pipeline'!G175</f>
        <v/>
      </c>
      <c r="F180" s="13">
        <f>IF(E180&gt;'Stats &amp; 3-Sigma Control Bounds'!$C$21, "🚨 ANOMALY SPIKE", IF(E180&lt;0, "💳 CREDIT", "NORMAL"))</f>
        <v/>
      </c>
      <c r="G180" s="16">
        <f>(E180-'Stats &amp; 3-Sigma Control Bounds'!$C$6)/'Stats &amp; 3-Sigma Control Bounds'!$C$9</f>
        <v/>
      </c>
      <c r="H180" s="14">
        <f>IF(F180="🚨 ANOMALY SPIKE", "IMMEDIATE ESCALATION TO ENGINEERING", IF(F180="💳 CREDIT", "AUDIT CREDIT ALLOCATION", "APPROVED USAGE"))</f>
        <v/>
      </c>
    </row>
    <row r="181">
      <c r="A181" s="13">
        <f>'Master Cleaned Data Pipeline'!A176</f>
        <v/>
      </c>
      <c r="B181" s="13">
        <f>'Master Cleaned Data Pipeline'!B176</f>
        <v/>
      </c>
      <c r="C181" s="14">
        <f>'Master Cleaned Data Pipeline'!I176</f>
        <v/>
      </c>
      <c r="D181" s="14">
        <f>'Master Cleaned Data Pipeline'!F176</f>
        <v/>
      </c>
      <c r="E181" s="15">
        <f>'Master Cleaned Data Pipeline'!G176</f>
        <v/>
      </c>
      <c r="F181" s="13">
        <f>IF(E181&gt;'Stats &amp; 3-Sigma Control Bounds'!$C$21, "🚨 ANOMALY SPIKE", IF(E181&lt;0, "💳 CREDIT", "NORMAL"))</f>
        <v/>
      </c>
      <c r="G181" s="16">
        <f>(E181-'Stats &amp; 3-Sigma Control Bounds'!$C$6)/'Stats &amp; 3-Sigma Control Bounds'!$C$9</f>
        <v/>
      </c>
      <c r="H181" s="14">
        <f>IF(F181="🚨 ANOMALY SPIKE", "IMMEDIATE ESCALATION TO ENGINEERING", IF(F181="💳 CREDIT", "AUDIT CREDIT ALLOCATION", "APPROVED USAGE"))</f>
        <v/>
      </c>
    </row>
    <row r="182">
      <c r="A182" s="13">
        <f>'Master Cleaned Data Pipeline'!A177</f>
        <v/>
      </c>
      <c r="B182" s="13">
        <f>'Master Cleaned Data Pipeline'!B177</f>
        <v/>
      </c>
      <c r="C182" s="14">
        <f>'Master Cleaned Data Pipeline'!I177</f>
        <v/>
      </c>
      <c r="D182" s="14">
        <f>'Master Cleaned Data Pipeline'!F177</f>
        <v/>
      </c>
      <c r="E182" s="15">
        <f>'Master Cleaned Data Pipeline'!G177</f>
        <v/>
      </c>
      <c r="F182" s="13">
        <f>IF(E182&gt;'Stats &amp; 3-Sigma Control Bounds'!$C$21, "🚨 ANOMALY SPIKE", IF(E182&lt;0, "💳 CREDIT", "NORMAL"))</f>
        <v/>
      </c>
      <c r="G182" s="16">
        <f>(E182-'Stats &amp; 3-Sigma Control Bounds'!$C$6)/'Stats &amp; 3-Sigma Control Bounds'!$C$9</f>
        <v/>
      </c>
      <c r="H182" s="14">
        <f>IF(F182="🚨 ANOMALY SPIKE", "IMMEDIATE ESCALATION TO ENGINEERING", IF(F182="💳 CREDIT", "AUDIT CREDIT ALLOCATION", "APPROVED USAGE"))</f>
        <v/>
      </c>
    </row>
    <row r="183">
      <c r="A183" s="13">
        <f>'Master Cleaned Data Pipeline'!A178</f>
        <v/>
      </c>
      <c r="B183" s="13">
        <f>'Master Cleaned Data Pipeline'!B178</f>
        <v/>
      </c>
      <c r="C183" s="14">
        <f>'Master Cleaned Data Pipeline'!I178</f>
        <v/>
      </c>
      <c r="D183" s="14">
        <f>'Master Cleaned Data Pipeline'!F178</f>
        <v/>
      </c>
      <c r="E183" s="15">
        <f>'Master Cleaned Data Pipeline'!G178</f>
        <v/>
      </c>
      <c r="F183" s="13">
        <f>IF(E183&gt;'Stats &amp; 3-Sigma Control Bounds'!$C$21, "🚨 ANOMALY SPIKE", IF(E183&lt;0, "💳 CREDIT", "NORMAL"))</f>
        <v/>
      </c>
      <c r="G183" s="16">
        <f>(E183-'Stats &amp; 3-Sigma Control Bounds'!$C$6)/'Stats &amp; 3-Sigma Control Bounds'!$C$9</f>
        <v/>
      </c>
      <c r="H183" s="14">
        <f>IF(F183="🚨 ANOMALY SPIKE", "IMMEDIATE ESCALATION TO ENGINEERING", IF(F183="💳 CREDIT", "AUDIT CREDIT ALLOCATION", "APPROVED USAGE"))</f>
        <v/>
      </c>
    </row>
    <row r="184">
      <c r="A184" s="13">
        <f>'Master Cleaned Data Pipeline'!A179</f>
        <v/>
      </c>
      <c r="B184" s="13">
        <f>'Master Cleaned Data Pipeline'!B179</f>
        <v/>
      </c>
      <c r="C184" s="14">
        <f>'Master Cleaned Data Pipeline'!I179</f>
        <v/>
      </c>
      <c r="D184" s="14">
        <f>'Master Cleaned Data Pipeline'!F179</f>
        <v/>
      </c>
      <c r="E184" s="15">
        <f>'Master Cleaned Data Pipeline'!G179</f>
        <v/>
      </c>
      <c r="F184" s="13">
        <f>IF(E184&gt;'Stats &amp; 3-Sigma Control Bounds'!$C$21, "🚨 ANOMALY SPIKE", IF(E184&lt;0, "💳 CREDIT", "NORMAL"))</f>
        <v/>
      </c>
      <c r="G184" s="16">
        <f>(E184-'Stats &amp; 3-Sigma Control Bounds'!$C$6)/'Stats &amp; 3-Sigma Control Bounds'!$C$9</f>
        <v/>
      </c>
      <c r="H184" s="14">
        <f>IF(F184="🚨 ANOMALY SPIKE", "IMMEDIATE ESCALATION TO ENGINEERING", IF(F184="💳 CREDIT", "AUDIT CREDIT ALLOCATION", "APPROVED USAGE"))</f>
        <v/>
      </c>
    </row>
    <row r="185">
      <c r="A185" s="13">
        <f>'Master Cleaned Data Pipeline'!A180</f>
        <v/>
      </c>
      <c r="B185" s="13">
        <f>'Master Cleaned Data Pipeline'!B180</f>
        <v/>
      </c>
      <c r="C185" s="14">
        <f>'Master Cleaned Data Pipeline'!I180</f>
        <v/>
      </c>
      <c r="D185" s="14">
        <f>'Master Cleaned Data Pipeline'!F180</f>
        <v/>
      </c>
      <c r="E185" s="15">
        <f>'Master Cleaned Data Pipeline'!G180</f>
        <v/>
      </c>
      <c r="F185" s="13">
        <f>IF(E185&gt;'Stats &amp; 3-Sigma Control Bounds'!$C$21, "🚨 ANOMALY SPIKE", IF(E185&lt;0, "💳 CREDIT", "NORMAL"))</f>
        <v/>
      </c>
      <c r="G185" s="16">
        <f>(E185-'Stats &amp; 3-Sigma Control Bounds'!$C$6)/'Stats &amp; 3-Sigma Control Bounds'!$C$9</f>
        <v/>
      </c>
      <c r="H185" s="14">
        <f>IF(F185="🚨 ANOMALY SPIKE", "IMMEDIATE ESCALATION TO ENGINEERING", IF(F185="💳 CREDIT", "AUDIT CREDIT ALLOCATION", "APPROVED USAGE"))</f>
        <v/>
      </c>
    </row>
    <row r="186">
      <c r="A186" s="13">
        <f>'Master Cleaned Data Pipeline'!A181</f>
        <v/>
      </c>
      <c r="B186" s="13">
        <f>'Master Cleaned Data Pipeline'!B181</f>
        <v/>
      </c>
      <c r="C186" s="14">
        <f>'Master Cleaned Data Pipeline'!I181</f>
        <v/>
      </c>
      <c r="D186" s="14">
        <f>'Master Cleaned Data Pipeline'!F181</f>
        <v/>
      </c>
      <c r="E186" s="15">
        <f>'Master Cleaned Data Pipeline'!G181</f>
        <v/>
      </c>
      <c r="F186" s="13">
        <f>IF(E186&gt;'Stats &amp; 3-Sigma Control Bounds'!$C$21, "🚨 ANOMALY SPIKE", IF(E186&lt;0, "💳 CREDIT", "NORMAL"))</f>
        <v/>
      </c>
      <c r="G186" s="16">
        <f>(E186-'Stats &amp; 3-Sigma Control Bounds'!$C$6)/'Stats &amp; 3-Sigma Control Bounds'!$C$9</f>
        <v/>
      </c>
      <c r="H186" s="14">
        <f>IF(F186="🚨 ANOMALY SPIKE", "IMMEDIATE ESCALATION TO ENGINEERING", IF(F186="💳 CREDIT", "AUDIT CREDIT ALLOCATION", "APPROVED USAGE"))</f>
        <v/>
      </c>
    </row>
    <row r="187">
      <c r="A187" s="13">
        <f>'Master Cleaned Data Pipeline'!A182</f>
        <v/>
      </c>
      <c r="B187" s="13">
        <f>'Master Cleaned Data Pipeline'!B182</f>
        <v/>
      </c>
      <c r="C187" s="14">
        <f>'Master Cleaned Data Pipeline'!I182</f>
        <v/>
      </c>
      <c r="D187" s="14">
        <f>'Master Cleaned Data Pipeline'!F182</f>
        <v/>
      </c>
      <c r="E187" s="15">
        <f>'Master Cleaned Data Pipeline'!G182</f>
        <v/>
      </c>
      <c r="F187" s="13">
        <f>IF(E187&gt;'Stats &amp; 3-Sigma Control Bounds'!$C$21, "🚨 ANOMALY SPIKE", IF(E187&lt;0, "💳 CREDIT", "NORMAL"))</f>
        <v/>
      </c>
      <c r="G187" s="16">
        <f>(E187-'Stats &amp; 3-Sigma Control Bounds'!$C$6)/'Stats &amp; 3-Sigma Control Bounds'!$C$9</f>
        <v/>
      </c>
      <c r="H187" s="14">
        <f>IF(F187="🚨 ANOMALY SPIKE", "IMMEDIATE ESCALATION TO ENGINEERING", IF(F187="💳 CREDIT", "AUDIT CREDIT ALLOCATION", "APPROVED USAGE"))</f>
        <v/>
      </c>
    </row>
    <row r="188">
      <c r="A188" s="13">
        <f>'Master Cleaned Data Pipeline'!A183</f>
        <v/>
      </c>
      <c r="B188" s="13">
        <f>'Master Cleaned Data Pipeline'!B183</f>
        <v/>
      </c>
      <c r="C188" s="14">
        <f>'Master Cleaned Data Pipeline'!I183</f>
        <v/>
      </c>
      <c r="D188" s="14">
        <f>'Master Cleaned Data Pipeline'!F183</f>
        <v/>
      </c>
      <c r="E188" s="15">
        <f>'Master Cleaned Data Pipeline'!G183</f>
        <v/>
      </c>
      <c r="F188" s="13">
        <f>IF(E188&gt;'Stats &amp; 3-Sigma Control Bounds'!$C$21, "🚨 ANOMALY SPIKE", IF(E188&lt;0, "💳 CREDIT", "NORMAL"))</f>
        <v/>
      </c>
      <c r="G188" s="16">
        <f>(E188-'Stats &amp; 3-Sigma Control Bounds'!$C$6)/'Stats &amp; 3-Sigma Control Bounds'!$C$9</f>
        <v/>
      </c>
      <c r="H188" s="14">
        <f>IF(F188="🚨 ANOMALY SPIKE", "IMMEDIATE ESCALATION TO ENGINEERING", IF(F188="💳 CREDIT", "AUDIT CREDIT ALLOCATION", "APPROVED USAGE"))</f>
        <v/>
      </c>
    </row>
    <row r="189">
      <c r="A189" s="13">
        <f>'Master Cleaned Data Pipeline'!A184</f>
        <v/>
      </c>
      <c r="B189" s="13">
        <f>'Master Cleaned Data Pipeline'!B184</f>
        <v/>
      </c>
      <c r="C189" s="14">
        <f>'Master Cleaned Data Pipeline'!I184</f>
        <v/>
      </c>
      <c r="D189" s="14">
        <f>'Master Cleaned Data Pipeline'!F184</f>
        <v/>
      </c>
      <c r="E189" s="15">
        <f>'Master Cleaned Data Pipeline'!G184</f>
        <v/>
      </c>
      <c r="F189" s="13">
        <f>IF(E189&gt;'Stats &amp; 3-Sigma Control Bounds'!$C$21, "🚨 ANOMALY SPIKE", IF(E189&lt;0, "💳 CREDIT", "NORMAL"))</f>
        <v/>
      </c>
      <c r="G189" s="16">
        <f>(E189-'Stats &amp; 3-Sigma Control Bounds'!$C$6)/'Stats &amp; 3-Sigma Control Bounds'!$C$9</f>
        <v/>
      </c>
      <c r="H189" s="14">
        <f>IF(F189="🚨 ANOMALY SPIKE", "IMMEDIATE ESCALATION TO ENGINEERING", IF(F189="💳 CREDIT", "AUDIT CREDIT ALLOCATION", "APPROVED USAGE"))</f>
        <v/>
      </c>
    </row>
    <row r="190">
      <c r="A190" s="13">
        <f>'Master Cleaned Data Pipeline'!A185</f>
        <v/>
      </c>
      <c r="B190" s="13">
        <f>'Master Cleaned Data Pipeline'!B185</f>
        <v/>
      </c>
      <c r="C190" s="14">
        <f>'Master Cleaned Data Pipeline'!I185</f>
        <v/>
      </c>
      <c r="D190" s="14">
        <f>'Master Cleaned Data Pipeline'!F185</f>
        <v/>
      </c>
      <c r="E190" s="15">
        <f>'Master Cleaned Data Pipeline'!G185</f>
        <v/>
      </c>
      <c r="F190" s="13">
        <f>IF(E190&gt;'Stats &amp; 3-Sigma Control Bounds'!$C$21, "🚨 ANOMALY SPIKE", IF(E190&lt;0, "💳 CREDIT", "NORMAL"))</f>
        <v/>
      </c>
      <c r="G190" s="16">
        <f>(E190-'Stats &amp; 3-Sigma Control Bounds'!$C$6)/'Stats &amp; 3-Sigma Control Bounds'!$C$9</f>
        <v/>
      </c>
      <c r="H190" s="14">
        <f>IF(F190="🚨 ANOMALY SPIKE", "IMMEDIATE ESCALATION TO ENGINEERING", IF(F190="💳 CREDIT", "AUDIT CREDIT ALLOCATION", "APPROVED USAGE"))</f>
        <v/>
      </c>
    </row>
    <row r="191">
      <c r="A191" s="13">
        <f>'Master Cleaned Data Pipeline'!A186</f>
        <v/>
      </c>
      <c r="B191" s="13">
        <f>'Master Cleaned Data Pipeline'!B186</f>
        <v/>
      </c>
      <c r="C191" s="14">
        <f>'Master Cleaned Data Pipeline'!I186</f>
        <v/>
      </c>
      <c r="D191" s="14">
        <f>'Master Cleaned Data Pipeline'!F186</f>
        <v/>
      </c>
      <c r="E191" s="15">
        <f>'Master Cleaned Data Pipeline'!G186</f>
        <v/>
      </c>
      <c r="F191" s="13">
        <f>IF(E191&gt;'Stats &amp; 3-Sigma Control Bounds'!$C$21, "🚨 ANOMALY SPIKE", IF(E191&lt;0, "💳 CREDIT", "NORMAL"))</f>
        <v/>
      </c>
      <c r="G191" s="16">
        <f>(E191-'Stats &amp; 3-Sigma Control Bounds'!$C$6)/'Stats &amp; 3-Sigma Control Bounds'!$C$9</f>
        <v/>
      </c>
      <c r="H191" s="14">
        <f>IF(F191="🚨 ANOMALY SPIKE", "IMMEDIATE ESCALATION TO ENGINEERING", IF(F191="💳 CREDIT", "AUDIT CREDIT ALLOCATION", "APPROVED USAGE"))</f>
        <v/>
      </c>
    </row>
    <row r="192">
      <c r="A192" s="13">
        <f>'Master Cleaned Data Pipeline'!A187</f>
        <v/>
      </c>
      <c r="B192" s="13">
        <f>'Master Cleaned Data Pipeline'!B187</f>
        <v/>
      </c>
      <c r="C192" s="14">
        <f>'Master Cleaned Data Pipeline'!I187</f>
        <v/>
      </c>
      <c r="D192" s="14">
        <f>'Master Cleaned Data Pipeline'!F187</f>
        <v/>
      </c>
      <c r="E192" s="15">
        <f>'Master Cleaned Data Pipeline'!G187</f>
        <v/>
      </c>
      <c r="F192" s="13">
        <f>IF(E192&gt;'Stats &amp; 3-Sigma Control Bounds'!$C$21, "🚨 ANOMALY SPIKE", IF(E192&lt;0, "💳 CREDIT", "NORMAL"))</f>
        <v/>
      </c>
      <c r="G192" s="16">
        <f>(E192-'Stats &amp; 3-Sigma Control Bounds'!$C$6)/'Stats &amp; 3-Sigma Control Bounds'!$C$9</f>
        <v/>
      </c>
      <c r="H192" s="14">
        <f>IF(F192="🚨 ANOMALY SPIKE", "IMMEDIATE ESCALATION TO ENGINEERING", IF(F192="💳 CREDIT", "AUDIT CREDIT ALLOCATION", "APPROVED USAGE"))</f>
        <v/>
      </c>
    </row>
    <row r="193">
      <c r="A193" s="13">
        <f>'Master Cleaned Data Pipeline'!A188</f>
        <v/>
      </c>
      <c r="B193" s="13">
        <f>'Master Cleaned Data Pipeline'!B188</f>
        <v/>
      </c>
      <c r="C193" s="14">
        <f>'Master Cleaned Data Pipeline'!I188</f>
        <v/>
      </c>
      <c r="D193" s="14">
        <f>'Master Cleaned Data Pipeline'!F188</f>
        <v/>
      </c>
      <c r="E193" s="15">
        <f>'Master Cleaned Data Pipeline'!G188</f>
        <v/>
      </c>
      <c r="F193" s="13">
        <f>IF(E193&gt;'Stats &amp; 3-Sigma Control Bounds'!$C$21, "🚨 ANOMALY SPIKE", IF(E193&lt;0, "💳 CREDIT", "NORMAL"))</f>
        <v/>
      </c>
      <c r="G193" s="16">
        <f>(E193-'Stats &amp; 3-Sigma Control Bounds'!$C$6)/'Stats &amp; 3-Sigma Control Bounds'!$C$9</f>
        <v/>
      </c>
      <c r="H193" s="14">
        <f>IF(F193="🚨 ANOMALY SPIKE", "IMMEDIATE ESCALATION TO ENGINEERING", IF(F193="💳 CREDIT", "AUDIT CREDIT ALLOCATION", "APPROVED USAGE"))</f>
        <v/>
      </c>
    </row>
    <row r="194">
      <c r="A194" s="13">
        <f>'Master Cleaned Data Pipeline'!A189</f>
        <v/>
      </c>
      <c r="B194" s="13">
        <f>'Master Cleaned Data Pipeline'!B189</f>
        <v/>
      </c>
      <c r="C194" s="14">
        <f>'Master Cleaned Data Pipeline'!I189</f>
        <v/>
      </c>
      <c r="D194" s="14">
        <f>'Master Cleaned Data Pipeline'!F189</f>
        <v/>
      </c>
      <c r="E194" s="15">
        <f>'Master Cleaned Data Pipeline'!G189</f>
        <v/>
      </c>
      <c r="F194" s="13">
        <f>IF(E194&gt;'Stats &amp; 3-Sigma Control Bounds'!$C$21, "🚨 ANOMALY SPIKE", IF(E194&lt;0, "💳 CREDIT", "NORMAL"))</f>
        <v/>
      </c>
      <c r="G194" s="16">
        <f>(E194-'Stats &amp; 3-Sigma Control Bounds'!$C$6)/'Stats &amp; 3-Sigma Control Bounds'!$C$9</f>
        <v/>
      </c>
      <c r="H194" s="14">
        <f>IF(F194="🚨 ANOMALY SPIKE", "IMMEDIATE ESCALATION TO ENGINEERING", IF(F194="💳 CREDIT", "AUDIT CREDIT ALLOCATION", "APPROVED USAGE"))</f>
        <v/>
      </c>
    </row>
    <row r="195">
      <c r="A195" s="13">
        <f>'Master Cleaned Data Pipeline'!A190</f>
        <v/>
      </c>
      <c r="B195" s="13">
        <f>'Master Cleaned Data Pipeline'!B190</f>
        <v/>
      </c>
      <c r="C195" s="14">
        <f>'Master Cleaned Data Pipeline'!I190</f>
        <v/>
      </c>
      <c r="D195" s="14">
        <f>'Master Cleaned Data Pipeline'!F190</f>
        <v/>
      </c>
      <c r="E195" s="15">
        <f>'Master Cleaned Data Pipeline'!G190</f>
        <v/>
      </c>
      <c r="F195" s="13">
        <f>IF(E195&gt;'Stats &amp; 3-Sigma Control Bounds'!$C$21, "🚨 ANOMALY SPIKE", IF(E195&lt;0, "💳 CREDIT", "NORMAL"))</f>
        <v/>
      </c>
      <c r="G195" s="16">
        <f>(E195-'Stats &amp; 3-Sigma Control Bounds'!$C$6)/'Stats &amp; 3-Sigma Control Bounds'!$C$9</f>
        <v/>
      </c>
      <c r="H195" s="14">
        <f>IF(F195="🚨 ANOMALY SPIKE", "IMMEDIATE ESCALATION TO ENGINEERING", IF(F195="💳 CREDIT", "AUDIT CREDIT ALLOCATION", "APPROVED USAGE"))</f>
        <v/>
      </c>
    </row>
    <row r="196">
      <c r="A196" s="13">
        <f>'Master Cleaned Data Pipeline'!A191</f>
        <v/>
      </c>
      <c r="B196" s="13">
        <f>'Master Cleaned Data Pipeline'!B191</f>
        <v/>
      </c>
      <c r="C196" s="14">
        <f>'Master Cleaned Data Pipeline'!I191</f>
        <v/>
      </c>
      <c r="D196" s="14">
        <f>'Master Cleaned Data Pipeline'!F191</f>
        <v/>
      </c>
      <c r="E196" s="15">
        <f>'Master Cleaned Data Pipeline'!G191</f>
        <v/>
      </c>
      <c r="F196" s="13">
        <f>IF(E196&gt;'Stats &amp; 3-Sigma Control Bounds'!$C$21, "🚨 ANOMALY SPIKE", IF(E196&lt;0, "💳 CREDIT", "NORMAL"))</f>
        <v/>
      </c>
      <c r="G196" s="16">
        <f>(E196-'Stats &amp; 3-Sigma Control Bounds'!$C$6)/'Stats &amp; 3-Sigma Control Bounds'!$C$9</f>
        <v/>
      </c>
      <c r="H196" s="14">
        <f>IF(F196="🚨 ANOMALY SPIKE", "IMMEDIATE ESCALATION TO ENGINEERING", IF(F196="💳 CREDIT", "AUDIT CREDIT ALLOCATION", "APPROVED USAGE"))</f>
        <v/>
      </c>
    </row>
    <row r="197">
      <c r="A197" s="13">
        <f>'Master Cleaned Data Pipeline'!A192</f>
        <v/>
      </c>
      <c r="B197" s="13">
        <f>'Master Cleaned Data Pipeline'!B192</f>
        <v/>
      </c>
      <c r="C197" s="14">
        <f>'Master Cleaned Data Pipeline'!I192</f>
        <v/>
      </c>
      <c r="D197" s="14">
        <f>'Master Cleaned Data Pipeline'!F192</f>
        <v/>
      </c>
      <c r="E197" s="15">
        <f>'Master Cleaned Data Pipeline'!G192</f>
        <v/>
      </c>
      <c r="F197" s="13">
        <f>IF(E197&gt;'Stats &amp; 3-Sigma Control Bounds'!$C$21, "🚨 ANOMALY SPIKE", IF(E197&lt;0, "💳 CREDIT", "NORMAL"))</f>
        <v/>
      </c>
      <c r="G197" s="16">
        <f>(E197-'Stats &amp; 3-Sigma Control Bounds'!$C$6)/'Stats &amp; 3-Sigma Control Bounds'!$C$9</f>
        <v/>
      </c>
      <c r="H197" s="14">
        <f>IF(F197="🚨 ANOMALY SPIKE", "IMMEDIATE ESCALATION TO ENGINEERING", IF(F197="💳 CREDIT", "AUDIT CREDIT ALLOCATION", "APPROVED USAGE"))</f>
        <v/>
      </c>
    </row>
    <row r="198">
      <c r="A198" s="13">
        <f>'Master Cleaned Data Pipeline'!A193</f>
        <v/>
      </c>
      <c r="B198" s="13">
        <f>'Master Cleaned Data Pipeline'!B193</f>
        <v/>
      </c>
      <c r="C198" s="14">
        <f>'Master Cleaned Data Pipeline'!I193</f>
        <v/>
      </c>
      <c r="D198" s="14">
        <f>'Master Cleaned Data Pipeline'!F193</f>
        <v/>
      </c>
      <c r="E198" s="15">
        <f>'Master Cleaned Data Pipeline'!G193</f>
        <v/>
      </c>
      <c r="F198" s="13">
        <f>IF(E198&gt;'Stats &amp; 3-Sigma Control Bounds'!$C$21, "🚨 ANOMALY SPIKE", IF(E198&lt;0, "💳 CREDIT", "NORMAL"))</f>
        <v/>
      </c>
      <c r="G198" s="16">
        <f>(E198-'Stats &amp; 3-Sigma Control Bounds'!$C$6)/'Stats &amp; 3-Sigma Control Bounds'!$C$9</f>
        <v/>
      </c>
      <c r="H198" s="14">
        <f>IF(F198="🚨 ANOMALY SPIKE", "IMMEDIATE ESCALATION TO ENGINEERING", IF(F198="💳 CREDIT", "AUDIT CREDIT ALLOCATION", "APPROVED USAGE"))</f>
        <v/>
      </c>
    </row>
    <row r="199">
      <c r="A199" s="13">
        <f>'Master Cleaned Data Pipeline'!A194</f>
        <v/>
      </c>
      <c r="B199" s="13">
        <f>'Master Cleaned Data Pipeline'!B194</f>
        <v/>
      </c>
      <c r="C199" s="14">
        <f>'Master Cleaned Data Pipeline'!I194</f>
        <v/>
      </c>
      <c r="D199" s="14">
        <f>'Master Cleaned Data Pipeline'!F194</f>
        <v/>
      </c>
      <c r="E199" s="15">
        <f>'Master Cleaned Data Pipeline'!G194</f>
        <v/>
      </c>
      <c r="F199" s="13">
        <f>IF(E199&gt;'Stats &amp; 3-Sigma Control Bounds'!$C$21, "🚨 ANOMALY SPIKE", IF(E199&lt;0, "💳 CREDIT", "NORMAL"))</f>
        <v/>
      </c>
      <c r="G199" s="16">
        <f>(E199-'Stats &amp; 3-Sigma Control Bounds'!$C$6)/'Stats &amp; 3-Sigma Control Bounds'!$C$9</f>
        <v/>
      </c>
      <c r="H199" s="14">
        <f>IF(F199="🚨 ANOMALY SPIKE", "IMMEDIATE ESCALATION TO ENGINEERING", IF(F199="💳 CREDIT", "AUDIT CREDIT ALLOCATION", "APPROVED USAGE"))</f>
        <v/>
      </c>
    </row>
    <row r="200">
      <c r="A200" s="13">
        <f>'Master Cleaned Data Pipeline'!A195</f>
        <v/>
      </c>
      <c r="B200" s="13">
        <f>'Master Cleaned Data Pipeline'!B195</f>
        <v/>
      </c>
      <c r="C200" s="14">
        <f>'Master Cleaned Data Pipeline'!I195</f>
        <v/>
      </c>
      <c r="D200" s="14">
        <f>'Master Cleaned Data Pipeline'!F195</f>
        <v/>
      </c>
      <c r="E200" s="15">
        <f>'Master Cleaned Data Pipeline'!G195</f>
        <v/>
      </c>
      <c r="F200" s="13">
        <f>IF(E200&gt;'Stats &amp; 3-Sigma Control Bounds'!$C$21, "🚨 ANOMALY SPIKE", IF(E200&lt;0, "💳 CREDIT", "NORMAL"))</f>
        <v/>
      </c>
      <c r="G200" s="16">
        <f>(E200-'Stats &amp; 3-Sigma Control Bounds'!$C$6)/'Stats &amp; 3-Sigma Control Bounds'!$C$9</f>
        <v/>
      </c>
      <c r="H200" s="14">
        <f>IF(F200="🚨 ANOMALY SPIKE", "IMMEDIATE ESCALATION TO ENGINEERING", IF(F200="💳 CREDIT", "AUDIT CREDIT ALLOCATION", "APPROVED USAGE"))</f>
        <v/>
      </c>
    </row>
    <row r="201">
      <c r="A201" s="13">
        <f>'Master Cleaned Data Pipeline'!A196</f>
        <v/>
      </c>
      <c r="B201" s="13">
        <f>'Master Cleaned Data Pipeline'!B196</f>
        <v/>
      </c>
      <c r="C201" s="14">
        <f>'Master Cleaned Data Pipeline'!I196</f>
        <v/>
      </c>
      <c r="D201" s="14">
        <f>'Master Cleaned Data Pipeline'!F196</f>
        <v/>
      </c>
      <c r="E201" s="15">
        <f>'Master Cleaned Data Pipeline'!G196</f>
        <v/>
      </c>
      <c r="F201" s="13">
        <f>IF(E201&gt;'Stats &amp; 3-Sigma Control Bounds'!$C$21, "🚨 ANOMALY SPIKE", IF(E201&lt;0, "💳 CREDIT", "NORMAL"))</f>
        <v/>
      </c>
      <c r="G201" s="16">
        <f>(E201-'Stats &amp; 3-Sigma Control Bounds'!$C$6)/'Stats &amp; 3-Sigma Control Bounds'!$C$9</f>
        <v/>
      </c>
      <c r="H201" s="14">
        <f>IF(F201="🚨 ANOMALY SPIKE", "IMMEDIATE ESCALATION TO ENGINEERING", IF(F201="💳 CREDIT", "AUDIT CREDIT ALLOCATION", "APPROVED USAGE"))</f>
        <v/>
      </c>
    </row>
    <row r="202">
      <c r="A202" s="13">
        <f>'Master Cleaned Data Pipeline'!A197</f>
        <v/>
      </c>
      <c r="B202" s="13">
        <f>'Master Cleaned Data Pipeline'!B197</f>
        <v/>
      </c>
      <c r="C202" s="14">
        <f>'Master Cleaned Data Pipeline'!I197</f>
        <v/>
      </c>
      <c r="D202" s="14">
        <f>'Master Cleaned Data Pipeline'!F197</f>
        <v/>
      </c>
      <c r="E202" s="15">
        <f>'Master Cleaned Data Pipeline'!G197</f>
        <v/>
      </c>
      <c r="F202" s="13">
        <f>IF(E202&gt;'Stats &amp; 3-Sigma Control Bounds'!$C$21, "🚨 ANOMALY SPIKE", IF(E202&lt;0, "💳 CREDIT", "NORMAL"))</f>
        <v/>
      </c>
      <c r="G202" s="16">
        <f>(E202-'Stats &amp; 3-Sigma Control Bounds'!$C$6)/'Stats &amp; 3-Sigma Control Bounds'!$C$9</f>
        <v/>
      </c>
      <c r="H202" s="14">
        <f>IF(F202="🚨 ANOMALY SPIKE", "IMMEDIATE ESCALATION TO ENGINEERING", IF(F202="💳 CREDIT", "AUDIT CREDIT ALLOCATION", "APPROVED USAGE"))</f>
        <v/>
      </c>
    </row>
    <row r="203">
      <c r="A203" s="13">
        <f>'Master Cleaned Data Pipeline'!A198</f>
        <v/>
      </c>
      <c r="B203" s="13">
        <f>'Master Cleaned Data Pipeline'!B198</f>
        <v/>
      </c>
      <c r="C203" s="14">
        <f>'Master Cleaned Data Pipeline'!I198</f>
        <v/>
      </c>
      <c r="D203" s="14">
        <f>'Master Cleaned Data Pipeline'!F198</f>
        <v/>
      </c>
      <c r="E203" s="15">
        <f>'Master Cleaned Data Pipeline'!G198</f>
        <v/>
      </c>
      <c r="F203" s="13">
        <f>IF(E203&gt;'Stats &amp; 3-Sigma Control Bounds'!$C$21, "🚨 ANOMALY SPIKE", IF(E203&lt;0, "💳 CREDIT", "NORMAL"))</f>
        <v/>
      </c>
      <c r="G203" s="16">
        <f>(E203-'Stats &amp; 3-Sigma Control Bounds'!$C$6)/'Stats &amp; 3-Sigma Control Bounds'!$C$9</f>
        <v/>
      </c>
      <c r="H203" s="14">
        <f>IF(F203="🚨 ANOMALY SPIKE", "IMMEDIATE ESCALATION TO ENGINEERING", IF(F203="💳 CREDIT", "AUDIT CREDIT ALLOCATION", "APPROVED USAGE"))</f>
        <v/>
      </c>
    </row>
    <row r="204">
      <c r="A204" s="13">
        <f>'Master Cleaned Data Pipeline'!A199</f>
        <v/>
      </c>
      <c r="B204" s="13">
        <f>'Master Cleaned Data Pipeline'!B199</f>
        <v/>
      </c>
      <c r="C204" s="14">
        <f>'Master Cleaned Data Pipeline'!I199</f>
        <v/>
      </c>
      <c r="D204" s="14">
        <f>'Master Cleaned Data Pipeline'!F199</f>
        <v/>
      </c>
      <c r="E204" s="15">
        <f>'Master Cleaned Data Pipeline'!G199</f>
        <v/>
      </c>
      <c r="F204" s="13">
        <f>IF(E204&gt;'Stats &amp; 3-Sigma Control Bounds'!$C$21, "🚨 ANOMALY SPIKE", IF(E204&lt;0, "💳 CREDIT", "NORMAL"))</f>
        <v/>
      </c>
      <c r="G204" s="16">
        <f>(E204-'Stats &amp; 3-Sigma Control Bounds'!$C$6)/'Stats &amp; 3-Sigma Control Bounds'!$C$9</f>
        <v/>
      </c>
      <c r="H204" s="14">
        <f>IF(F204="🚨 ANOMALY SPIKE", "IMMEDIATE ESCALATION TO ENGINEERING", IF(F204="💳 CREDIT", "AUDIT CREDIT ALLOCATION", "APPROVED USAGE"))</f>
        <v/>
      </c>
    </row>
    <row r="205">
      <c r="A205" s="13">
        <f>'Master Cleaned Data Pipeline'!A200</f>
        <v/>
      </c>
      <c r="B205" s="13">
        <f>'Master Cleaned Data Pipeline'!B200</f>
        <v/>
      </c>
      <c r="C205" s="14">
        <f>'Master Cleaned Data Pipeline'!I200</f>
        <v/>
      </c>
      <c r="D205" s="14">
        <f>'Master Cleaned Data Pipeline'!F200</f>
        <v/>
      </c>
      <c r="E205" s="15">
        <f>'Master Cleaned Data Pipeline'!G200</f>
        <v/>
      </c>
      <c r="F205" s="13">
        <f>IF(E205&gt;'Stats &amp; 3-Sigma Control Bounds'!$C$21, "🚨 ANOMALY SPIKE", IF(E205&lt;0, "💳 CREDIT", "NORMAL"))</f>
        <v/>
      </c>
      <c r="G205" s="16">
        <f>(E205-'Stats &amp; 3-Sigma Control Bounds'!$C$6)/'Stats &amp; 3-Sigma Control Bounds'!$C$9</f>
        <v/>
      </c>
      <c r="H205" s="14">
        <f>IF(F205="🚨 ANOMALY SPIKE", "IMMEDIATE ESCALATION TO ENGINEERING", IF(F205="💳 CREDIT", "AUDIT CREDIT ALLOCATION", "APPROVED USAGE"))</f>
        <v/>
      </c>
    </row>
    <row r="206">
      <c r="A206" s="13">
        <f>'Master Cleaned Data Pipeline'!A201</f>
        <v/>
      </c>
      <c r="B206" s="13">
        <f>'Master Cleaned Data Pipeline'!B201</f>
        <v/>
      </c>
      <c r="C206" s="14">
        <f>'Master Cleaned Data Pipeline'!I201</f>
        <v/>
      </c>
      <c r="D206" s="14">
        <f>'Master Cleaned Data Pipeline'!F201</f>
        <v/>
      </c>
      <c r="E206" s="15">
        <f>'Master Cleaned Data Pipeline'!G201</f>
        <v/>
      </c>
      <c r="F206" s="13">
        <f>IF(E206&gt;'Stats &amp; 3-Sigma Control Bounds'!$C$21, "🚨 ANOMALY SPIKE", IF(E206&lt;0, "💳 CREDIT", "NORMAL"))</f>
        <v/>
      </c>
      <c r="G206" s="16">
        <f>(E206-'Stats &amp; 3-Sigma Control Bounds'!$C$6)/'Stats &amp; 3-Sigma Control Bounds'!$C$9</f>
        <v/>
      </c>
      <c r="H206" s="14">
        <f>IF(F206="🚨 ANOMALY SPIKE", "IMMEDIATE ESCALATION TO ENGINEERING", IF(F206="💳 CREDIT", "AUDIT CREDIT ALLOCATION", "APPROVED USAGE"))</f>
        <v/>
      </c>
    </row>
    <row r="207">
      <c r="A207" s="13">
        <f>'Master Cleaned Data Pipeline'!A202</f>
        <v/>
      </c>
      <c r="B207" s="13">
        <f>'Master Cleaned Data Pipeline'!B202</f>
        <v/>
      </c>
      <c r="C207" s="14">
        <f>'Master Cleaned Data Pipeline'!I202</f>
        <v/>
      </c>
      <c r="D207" s="14">
        <f>'Master Cleaned Data Pipeline'!F202</f>
        <v/>
      </c>
      <c r="E207" s="15">
        <f>'Master Cleaned Data Pipeline'!G202</f>
        <v/>
      </c>
      <c r="F207" s="13">
        <f>IF(E207&gt;'Stats &amp; 3-Sigma Control Bounds'!$C$21, "🚨 ANOMALY SPIKE", IF(E207&lt;0, "💳 CREDIT", "NORMAL"))</f>
        <v/>
      </c>
      <c r="G207" s="16">
        <f>(E207-'Stats &amp; 3-Sigma Control Bounds'!$C$6)/'Stats &amp; 3-Sigma Control Bounds'!$C$9</f>
        <v/>
      </c>
      <c r="H207" s="14">
        <f>IF(F207="🚨 ANOMALY SPIKE", "IMMEDIATE ESCALATION TO ENGINEERING", IF(F207="💳 CREDIT", "AUDIT CREDIT ALLOCATION", "APPROVED USAGE"))</f>
        <v/>
      </c>
    </row>
    <row r="208">
      <c r="A208" s="13">
        <f>'Master Cleaned Data Pipeline'!A203</f>
        <v/>
      </c>
      <c r="B208" s="13">
        <f>'Master Cleaned Data Pipeline'!B203</f>
        <v/>
      </c>
      <c r="C208" s="14">
        <f>'Master Cleaned Data Pipeline'!I203</f>
        <v/>
      </c>
      <c r="D208" s="14">
        <f>'Master Cleaned Data Pipeline'!F203</f>
        <v/>
      </c>
      <c r="E208" s="15">
        <f>'Master Cleaned Data Pipeline'!G203</f>
        <v/>
      </c>
      <c r="F208" s="13">
        <f>IF(E208&gt;'Stats &amp; 3-Sigma Control Bounds'!$C$21, "🚨 ANOMALY SPIKE", IF(E208&lt;0, "💳 CREDIT", "NORMAL"))</f>
        <v/>
      </c>
      <c r="G208" s="16">
        <f>(E208-'Stats &amp; 3-Sigma Control Bounds'!$C$6)/'Stats &amp; 3-Sigma Control Bounds'!$C$9</f>
        <v/>
      </c>
      <c r="H208" s="14">
        <f>IF(F208="🚨 ANOMALY SPIKE", "IMMEDIATE ESCALATION TO ENGINEERING", IF(F208="💳 CREDIT", "AUDIT CREDIT ALLOCATION", "APPROVED USAGE"))</f>
        <v/>
      </c>
    </row>
    <row r="209">
      <c r="A209" s="13">
        <f>'Master Cleaned Data Pipeline'!A204</f>
        <v/>
      </c>
      <c r="B209" s="13">
        <f>'Master Cleaned Data Pipeline'!B204</f>
        <v/>
      </c>
      <c r="C209" s="14">
        <f>'Master Cleaned Data Pipeline'!I204</f>
        <v/>
      </c>
      <c r="D209" s="14">
        <f>'Master Cleaned Data Pipeline'!F204</f>
        <v/>
      </c>
      <c r="E209" s="15">
        <f>'Master Cleaned Data Pipeline'!G204</f>
        <v/>
      </c>
      <c r="F209" s="13">
        <f>IF(E209&gt;'Stats &amp; 3-Sigma Control Bounds'!$C$21, "🚨 ANOMALY SPIKE", IF(E209&lt;0, "💳 CREDIT", "NORMAL"))</f>
        <v/>
      </c>
      <c r="G209" s="16">
        <f>(E209-'Stats &amp; 3-Sigma Control Bounds'!$C$6)/'Stats &amp; 3-Sigma Control Bounds'!$C$9</f>
        <v/>
      </c>
      <c r="H209" s="14">
        <f>IF(F209="🚨 ANOMALY SPIKE", "IMMEDIATE ESCALATION TO ENGINEERING", IF(F209="💳 CREDIT", "AUDIT CREDIT ALLOCATION", "APPROVED USAGE"))</f>
        <v/>
      </c>
    </row>
    <row r="210">
      <c r="A210" s="13">
        <f>'Master Cleaned Data Pipeline'!A205</f>
        <v/>
      </c>
      <c r="B210" s="13">
        <f>'Master Cleaned Data Pipeline'!B205</f>
        <v/>
      </c>
      <c r="C210" s="14">
        <f>'Master Cleaned Data Pipeline'!I205</f>
        <v/>
      </c>
      <c r="D210" s="14">
        <f>'Master Cleaned Data Pipeline'!F205</f>
        <v/>
      </c>
      <c r="E210" s="15">
        <f>'Master Cleaned Data Pipeline'!G205</f>
        <v/>
      </c>
      <c r="F210" s="13">
        <f>IF(E210&gt;'Stats &amp; 3-Sigma Control Bounds'!$C$21, "🚨 ANOMALY SPIKE", IF(E210&lt;0, "💳 CREDIT", "NORMAL"))</f>
        <v/>
      </c>
      <c r="G210" s="16">
        <f>(E210-'Stats &amp; 3-Sigma Control Bounds'!$C$6)/'Stats &amp; 3-Sigma Control Bounds'!$C$9</f>
        <v/>
      </c>
      <c r="H210" s="14">
        <f>IF(F210="🚨 ANOMALY SPIKE", "IMMEDIATE ESCALATION TO ENGINEERING", IF(F210="💳 CREDIT", "AUDIT CREDIT ALLOCATION", "APPROVED USAGE"))</f>
        <v/>
      </c>
    </row>
    <row r="211">
      <c r="A211" s="13">
        <f>'Master Cleaned Data Pipeline'!A206</f>
        <v/>
      </c>
      <c r="B211" s="13">
        <f>'Master Cleaned Data Pipeline'!B206</f>
        <v/>
      </c>
      <c r="C211" s="14">
        <f>'Master Cleaned Data Pipeline'!I206</f>
        <v/>
      </c>
      <c r="D211" s="14">
        <f>'Master Cleaned Data Pipeline'!F206</f>
        <v/>
      </c>
      <c r="E211" s="15">
        <f>'Master Cleaned Data Pipeline'!G206</f>
        <v/>
      </c>
      <c r="F211" s="13">
        <f>IF(E211&gt;'Stats &amp; 3-Sigma Control Bounds'!$C$21, "🚨 ANOMALY SPIKE", IF(E211&lt;0, "💳 CREDIT", "NORMAL"))</f>
        <v/>
      </c>
      <c r="G211" s="16">
        <f>(E211-'Stats &amp; 3-Sigma Control Bounds'!$C$6)/'Stats &amp; 3-Sigma Control Bounds'!$C$9</f>
        <v/>
      </c>
      <c r="H211" s="14">
        <f>IF(F211="🚨 ANOMALY SPIKE", "IMMEDIATE ESCALATION TO ENGINEERING", IF(F211="💳 CREDIT", "AUDIT CREDIT ALLOCATION", "APPROVED USAGE"))</f>
        <v/>
      </c>
    </row>
    <row r="212">
      <c r="A212" s="13">
        <f>'Master Cleaned Data Pipeline'!A207</f>
        <v/>
      </c>
      <c r="B212" s="13">
        <f>'Master Cleaned Data Pipeline'!B207</f>
        <v/>
      </c>
      <c r="C212" s="14">
        <f>'Master Cleaned Data Pipeline'!I207</f>
        <v/>
      </c>
      <c r="D212" s="14">
        <f>'Master Cleaned Data Pipeline'!F207</f>
        <v/>
      </c>
      <c r="E212" s="15">
        <f>'Master Cleaned Data Pipeline'!G207</f>
        <v/>
      </c>
      <c r="F212" s="13">
        <f>IF(E212&gt;'Stats &amp; 3-Sigma Control Bounds'!$C$21, "🚨 ANOMALY SPIKE", IF(E212&lt;0, "💳 CREDIT", "NORMAL"))</f>
        <v/>
      </c>
      <c r="G212" s="16">
        <f>(E212-'Stats &amp; 3-Sigma Control Bounds'!$C$6)/'Stats &amp; 3-Sigma Control Bounds'!$C$9</f>
        <v/>
      </c>
      <c r="H212" s="14">
        <f>IF(F212="🚨 ANOMALY SPIKE", "IMMEDIATE ESCALATION TO ENGINEERING", IF(F212="💳 CREDIT", "AUDIT CREDIT ALLOCATION", "APPROVED USAGE"))</f>
        <v/>
      </c>
    </row>
    <row r="213">
      <c r="A213" s="13">
        <f>'Master Cleaned Data Pipeline'!A208</f>
        <v/>
      </c>
      <c r="B213" s="13">
        <f>'Master Cleaned Data Pipeline'!B208</f>
        <v/>
      </c>
      <c r="C213" s="14">
        <f>'Master Cleaned Data Pipeline'!I208</f>
        <v/>
      </c>
      <c r="D213" s="14">
        <f>'Master Cleaned Data Pipeline'!F208</f>
        <v/>
      </c>
      <c r="E213" s="15">
        <f>'Master Cleaned Data Pipeline'!G208</f>
        <v/>
      </c>
      <c r="F213" s="13">
        <f>IF(E213&gt;'Stats &amp; 3-Sigma Control Bounds'!$C$21, "🚨 ANOMALY SPIKE", IF(E213&lt;0, "💳 CREDIT", "NORMAL"))</f>
        <v/>
      </c>
      <c r="G213" s="16">
        <f>(E213-'Stats &amp; 3-Sigma Control Bounds'!$C$6)/'Stats &amp; 3-Sigma Control Bounds'!$C$9</f>
        <v/>
      </c>
      <c r="H213" s="14">
        <f>IF(F213="🚨 ANOMALY SPIKE", "IMMEDIATE ESCALATION TO ENGINEERING", IF(F213="💳 CREDIT", "AUDIT CREDIT ALLOCATION", "APPROVED USAGE"))</f>
        <v/>
      </c>
    </row>
    <row r="214">
      <c r="A214" s="13">
        <f>'Master Cleaned Data Pipeline'!A209</f>
        <v/>
      </c>
      <c r="B214" s="13">
        <f>'Master Cleaned Data Pipeline'!B209</f>
        <v/>
      </c>
      <c r="C214" s="14">
        <f>'Master Cleaned Data Pipeline'!I209</f>
        <v/>
      </c>
      <c r="D214" s="14">
        <f>'Master Cleaned Data Pipeline'!F209</f>
        <v/>
      </c>
      <c r="E214" s="15">
        <f>'Master Cleaned Data Pipeline'!G209</f>
        <v/>
      </c>
      <c r="F214" s="13">
        <f>IF(E214&gt;'Stats &amp; 3-Sigma Control Bounds'!$C$21, "🚨 ANOMALY SPIKE", IF(E214&lt;0, "💳 CREDIT", "NORMAL"))</f>
        <v/>
      </c>
      <c r="G214" s="16">
        <f>(E214-'Stats &amp; 3-Sigma Control Bounds'!$C$6)/'Stats &amp; 3-Sigma Control Bounds'!$C$9</f>
        <v/>
      </c>
      <c r="H214" s="14">
        <f>IF(F214="🚨 ANOMALY SPIKE", "IMMEDIATE ESCALATION TO ENGINEERING", IF(F214="💳 CREDIT", "AUDIT CREDIT ALLOCATION", "APPROVED USAGE"))</f>
        <v/>
      </c>
    </row>
    <row r="215">
      <c r="A215" s="13">
        <f>'Master Cleaned Data Pipeline'!A210</f>
        <v/>
      </c>
      <c r="B215" s="13">
        <f>'Master Cleaned Data Pipeline'!B210</f>
        <v/>
      </c>
      <c r="C215" s="14">
        <f>'Master Cleaned Data Pipeline'!I210</f>
        <v/>
      </c>
      <c r="D215" s="14">
        <f>'Master Cleaned Data Pipeline'!F210</f>
        <v/>
      </c>
      <c r="E215" s="15">
        <f>'Master Cleaned Data Pipeline'!G210</f>
        <v/>
      </c>
      <c r="F215" s="13">
        <f>IF(E215&gt;'Stats &amp; 3-Sigma Control Bounds'!$C$21, "🚨 ANOMALY SPIKE", IF(E215&lt;0, "💳 CREDIT", "NORMAL"))</f>
        <v/>
      </c>
      <c r="G215" s="16">
        <f>(E215-'Stats &amp; 3-Sigma Control Bounds'!$C$6)/'Stats &amp; 3-Sigma Control Bounds'!$C$9</f>
        <v/>
      </c>
      <c r="H215" s="14">
        <f>IF(F215="🚨 ANOMALY SPIKE", "IMMEDIATE ESCALATION TO ENGINEERING", IF(F215="💳 CREDIT", "AUDIT CREDIT ALLOCATION", "APPROVED USAGE"))</f>
        <v/>
      </c>
    </row>
    <row r="216">
      <c r="A216" s="13">
        <f>'Master Cleaned Data Pipeline'!A211</f>
        <v/>
      </c>
      <c r="B216" s="13">
        <f>'Master Cleaned Data Pipeline'!B211</f>
        <v/>
      </c>
      <c r="C216" s="14">
        <f>'Master Cleaned Data Pipeline'!I211</f>
        <v/>
      </c>
      <c r="D216" s="14">
        <f>'Master Cleaned Data Pipeline'!F211</f>
        <v/>
      </c>
      <c r="E216" s="15">
        <f>'Master Cleaned Data Pipeline'!G211</f>
        <v/>
      </c>
      <c r="F216" s="13">
        <f>IF(E216&gt;'Stats &amp; 3-Sigma Control Bounds'!$C$21, "🚨 ANOMALY SPIKE", IF(E216&lt;0, "💳 CREDIT", "NORMAL"))</f>
        <v/>
      </c>
      <c r="G216" s="16">
        <f>(E216-'Stats &amp; 3-Sigma Control Bounds'!$C$6)/'Stats &amp; 3-Sigma Control Bounds'!$C$9</f>
        <v/>
      </c>
      <c r="H216" s="14">
        <f>IF(F216="🚨 ANOMALY SPIKE", "IMMEDIATE ESCALATION TO ENGINEERING", IF(F216="💳 CREDIT", "AUDIT CREDIT ALLOCATION", "APPROVED USAGE"))</f>
        <v/>
      </c>
    </row>
    <row r="217">
      <c r="A217" s="13">
        <f>'Master Cleaned Data Pipeline'!A212</f>
        <v/>
      </c>
      <c r="B217" s="13">
        <f>'Master Cleaned Data Pipeline'!B212</f>
        <v/>
      </c>
      <c r="C217" s="14">
        <f>'Master Cleaned Data Pipeline'!I212</f>
        <v/>
      </c>
      <c r="D217" s="14">
        <f>'Master Cleaned Data Pipeline'!F212</f>
        <v/>
      </c>
      <c r="E217" s="15">
        <f>'Master Cleaned Data Pipeline'!G212</f>
        <v/>
      </c>
      <c r="F217" s="13">
        <f>IF(E217&gt;'Stats &amp; 3-Sigma Control Bounds'!$C$21, "🚨 ANOMALY SPIKE", IF(E217&lt;0, "💳 CREDIT", "NORMAL"))</f>
        <v/>
      </c>
      <c r="G217" s="16">
        <f>(E217-'Stats &amp; 3-Sigma Control Bounds'!$C$6)/'Stats &amp; 3-Sigma Control Bounds'!$C$9</f>
        <v/>
      </c>
      <c r="H217" s="14">
        <f>IF(F217="🚨 ANOMALY SPIKE", "IMMEDIATE ESCALATION TO ENGINEERING", IF(F217="💳 CREDIT", "AUDIT CREDIT ALLOCATION", "APPROVED USAGE"))</f>
        <v/>
      </c>
    </row>
    <row r="218">
      <c r="A218" s="13">
        <f>'Master Cleaned Data Pipeline'!A213</f>
        <v/>
      </c>
      <c r="B218" s="13">
        <f>'Master Cleaned Data Pipeline'!B213</f>
        <v/>
      </c>
      <c r="C218" s="14">
        <f>'Master Cleaned Data Pipeline'!I213</f>
        <v/>
      </c>
      <c r="D218" s="14">
        <f>'Master Cleaned Data Pipeline'!F213</f>
        <v/>
      </c>
      <c r="E218" s="15">
        <f>'Master Cleaned Data Pipeline'!G213</f>
        <v/>
      </c>
      <c r="F218" s="13">
        <f>IF(E218&gt;'Stats &amp; 3-Sigma Control Bounds'!$C$21, "🚨 ANOMALY SPIKE", IF(E218&lt;0, "💳 CREDIT", "NORMAL"))</f>
        <v/>
      </c>
      <c r="G218" s="16">
        <f>(E218-'Stats &amp; 3-Sigma Control Bounds'!$C$6)/'Stats &amp; 3-Sigma Control Bounds'!$C$9</f>
        <v/>
      </c>
      <c r="H218" s="14">
        <f>IF(F218="🚨 ANOMALY SPIKE", "IMMEDIATE ESCALATION TO ENGINEERING", IF(F218="💳 CREDIT", "AUDIT CREDIT ALLOCATION", "APPROVED USAGE"))</f>
        <v/>
      </c>
    </row>
    <row r="219">
      <c r="A219" s="13">
        <f>'Master Cleaned Data Pipeline'!A214</f>
        <v/>
      </c>
      <c r="B219" s="13">
        <f>'Master Cleaned Data Pipeline'!B214</f>
        <v/>
      </c>
      <c r="C219" s="14">
        <f>'Master Cleaned Data Pipeline'!I214</f>
        <v/>
      </c>
      <c r="D219" s="14">
        <f>'Master Cleaned Data Pipeline'!F214</f>
        <v/>
      </c>
      <c r="E219" s="15">
        <f>'Master Cleaned Data Pipeline'!G214</f>
        <v/>
      </c>
      <c r="F219" s="13">
        <f>IF(E219&gt;'Stats &amp; 3-Sigma Control Bounds'!$C$21, "🚨 ANOMALY SPIKE", IF(E219&lt;0, "💳 CREDIT", "NORMAL"))</f>
        <v/>
      </c>
      <c r="G219" s="16">
        <f>(E219-'Stats &amp; 3-Sigma Control Bounds'!$C$6)/'Stats &amp; 3-Sigma Control Bounds'!$C$9</f>
        <v/>
      </c>
      <c r="H219" s="14">
        <f>IF(F219="🚨 ANOMALY SPIKE", "IMMEDIATE ESCALATION TO ENGINEERING", IF(F219="💳 CREDIT", "AUDIT CREDIT ALLOCATION", "APPROVED USAGE"))</f>
        <v/>
      </c>
    </row>
    <row r="220">
      <c r="A220" s="13">
        <f>'Master Cleaned Data Pipeline'!A215</f>
        <v/>
      </c>
      <c r="B220" s="13">
        <f>'Master Cleaned Data Pipeline'!B215</f>
        <v/>
      </c>
      <c r="C220" s="14">
        <f>'Master Cleaned Data Pipeline'!I215</f>
        <v/>
      </c>
      <c r="D220" s="14">
        <f>'Master Cleaned Data Pipeline'!F215</f>
        <v/>
      </c>
      <c r="E220" s="15">
        <f>'Master Cleaned Data Pipeline'!G215</f>
        <v/>
      </c>
      <c r="F220" s="13">
        <f>IF(E220&gt;'Stats &amp; 3-Sigma Control Bounds'!$C$21, "🚨 ANOMALY SPIKE", IF(E220&lt;0, "💳 CREDIT", "NORMAL"))</f>
        <v/>
      </c>
      <c r="G220" s="16">
        <f>(E220-'Stats &amp; 3-Sigma Control Bounds'!$C$6)/'Stats &amp; 3-Sigma Control Bounds'!$C$9</f>
        <v/>
      </c>
      <c r="H220" s="14">
        <f>IF(F220="🚨 ANOMALY SPIKE", "IMMEDIATE ESCALATION TO ENGINEERING", IF(F220="💳 CREDIT", "AUDIT CREDIT ALLOCATION", "APPROVED USAGE"))</f>
        <v/>
      </c>
    </row>
    <row r="221">
      <c r="A221" s="13">
        <f>'Master Cleaned Data Pipeline'!A216</f>
        <v/>
      </c>
      <c r="B221" s="13">
        <f>'Master Cleaned Data Pipeline'!B216</f>
        <v/>
      </c>
      <c r="C221" s="14">
        <f>'Master Cleaned Data Pipeline'!I216</f>
        <v/>
      </c>
      <c r="D221" s="14">
        <f>'Master Cleaned Data Pipeline'!F216</f>
        <v/>
      </c>
      <c r="E221" s="15">
        <f>'Master Cleaned Data Pipeline'!G216</f>
        <v/>
      </c>
      <c r="F221" s="13">
        <f>IF(E221&gt;'Stats &amp; 3-Sigma Control Bounds'!$C$21, "🚨 ANOMALY SPIKE", IF(E221&lt;0, "💳 CREDIT", "NORMAL"))</f>
        <v/>
      </c>
      <c r="G221" s="16">
        <f>(E221-'Stats &amp; 3-Sigma Control Bounds'!$C$6)/'Stats &amp; 3-Sigma Control Bounds'!$C$9</f>
        <v/>
      </c>
      <c r="H221" s="14">
        <f>IF(F221="🚨 ANOMALY SPIKE", "IMMEDIATE ESCALATION TO ENGINEERING", IF(F221="💳 CREDIT", "AUDIT CREDIT ALLOCATION", "APPROVED USAGE"))</f>
        <v/>
      </c>
    </row>
    <row r="222">
      <c r="A222" s="13">
        <f>'Master Cleaned Data Pipeline'!A217</f>
        <v/>
      </c>
      <c r="B222" s="13">
        <f>'Master Cleaned Data Pipeline'!B217</f>
        <v/>
      </c>
      <c r="C222" s="14">
        <f>'Master Cleaned Data Pipeline'!I217</f>
        <v/>
      </c>
      <c r="D222" s="14">
        <f>'Master Cleaned Data Pipeline'!F217</f>
        <v/>
      </c>
      <c r="E222" s="15">
        <f>'Master Cleaned Data Pipeline'!G217</f>
        <v/>
      </c>
      <c r="F222" s="13">
        <f>IF(E222&gt;'Stats &amp; 3-Sigma Control Bounds'!$C$21, "🚨 ANOMALY SPIKE", IF(E222&lt;0, "💳 CREDIT", "NORMAL"))</f>
        <v/>
      </c>
      <c r="G222" s="16">
        <f>(E222-'Stats &amp; 3-Sigma Control Bounds'!$C$6)/'Stats &amp; 3-Sigma Control Bounds'!$C$9</f>
        <v/>
      </c>
      <c r="H222" s="14">
        <f>IF(F222="🚨 ANOMALY SPIKE", "IMMEDIATE ESCALATION TO ENGINEERING", IF(F222="💳 CREDIT", "AUDIT CREDIT ALLOCATION", "APPROVED USAGE"))</f>
        <v/>
      </c>
    </row>
    <row r="223">
      <c r="A223" s="13">
        <f>'Master Cleaned Data Pipeline'!A218</f>
        <v/>
      </c>
      <c r="B223" s="13">
        <f>'Master Cleaned Data Pipeline'!B218</f>
        <v/>
      </c>
      <c r="C223" s="14">
        <f>'Master Cleaned Data Pipeline'!I218</f>
        <v/>
      </c>
      <c r="D223" s="14">
        <f>'Master Cleaned Data Pipeline'!F218</f>
        <v/>
      </c>
      <c r="E223" s="15">
        <f>'Master Cleaned Data Pipeline'!G218</f>
        <v/>
      </c>
      <c r="F223" s="13">
        <f>IF(E223&gt;'Stats &amp; 3-Sigma Control Bounds'!$C$21, "🚨 ANOMALY SPIKE", IF(E223&lt;0, "💳 CREDIT", "NORMAL"))</f>
        <v/>
      </c>
      <c r="G223" s="16">
        <f>(E223-'Stats &amp; 3-Sigma Control Bounds'!$C$6)/'Stats &amp; 3-Sigma Control Bounds'!$C$9</f>
        <v/>
      </c>
      <c r="H223" s="14">
        <f>IF(F223="🚨 ANOMALY SPIKE", "IMMEDIATE ESCALATION TO ENGINEERING", IF(F223="💳 CREDIT", "AUDIT CREDIT ALLOCATION", "APPROVED USAGE"))</f>
        <v/>
      </c>
    </row>
    <row r="224">
      <c r="A224" s="13">
        <f>'Master Cleaned Data Pipeline'!A219</f>
        <v/>
      </c>
      <c r="B224" s="13">
        <f>'Master Cleaned Data Pipeline'!B219</f>
        <v/>
      </c>
      <c r="C224" s="14">
        <f>'Master Cleaned Data Pipeline'!I219</f>
        <v/>
      </c>
      <c r="D224" s="14">
        <f>'Master Cleaned Data Pipeline'!F219</f>
        <v/>
      </c>
      <c r="E224" s="15">
        <f>'Master Cleaned Data Pipeline'!G219</f>
        <v/>
      </c>
      <c r="F224" s="13">
        <f>IF(E224&gt;'Stats &amp; 3-Sigma Control Bounds'!$C$21, "🚨 ANOMALY SPIKE", IF(E224&lt;0, "💳 CREDIT", "NORMAL"))</f>
        <v/>
      </c>
      <c r="G224" s="16">
        <f>(E224-'Stats &amp; 3-Sigma Control Bounds'!$C$6)/'Stats &amp; 3-Sigma Control Bounds'!$C$9</f>
        <v/>
      </c>
      <c r="H224" s="14">
        <f>IF(F224="🚨 ANOMALY SPIKE", "IMMEDIATE ESCALATION TO ENGINEERING", IF(F224="💳 CREDIT", "AUDIT CREDIT ALLOCATION", "APPROVED USAGE"))</f>
        <v/>
      </c>
    </row>
    <row r="225">
      <c r="A225" s="13">
        <f>'Master Cleaned Data Pipeline'!A220</f>
        <v/>
      </c>
      <c r="B225" s="13">
        <f>'Master Cleaned Data Pipeline'!B220</f>
        <v/>
      </c>
      <c r="C225" s="14">
        <f>'Master Cleaned Data Pipeline'!I220</f>
        <v/>
      </c>
      <c r="D225" s="14">
        <f>'Master Cleaned Data Pipeline'!F220</f>
        <v/>
      </c>
      <c r="E225" s="15">
        <f>'Master Cleaned Data Pipeline'!G220</f>
        <v/>
      </c>
      <c r="F225" s="13">
        <f>IF(E225&gt;'Stats &amp; 3-Sigma Control Bounds'!$C$21, "🚨 ANOMALY SPIKE", IF(E225&lt;0, "💳 CREDIT", "NORMAL"))</f>
        <v/>
      </c>
      <c r="G225" s="16">
        <f>(E225-'Stats &amp; 3-Sigma Control Bounds'!$C$6)/'Stats &amp; 3-Sigma Control Bounds'!$C$9</f>
        <v/>
      </c>
      <c r="H225" s="14">
        <f>IF(F225="🚨 ANOMALY SPIKE", "IMMEDIATE ESCALATION TO ENGINEERING", IF(F225="💳 CREDIT", "AUDIT CREDIT ALLOCATION", "APPROVED USAGE"))</f>
        <v/>
      </c>
    </row>
    <row r="226">
      <c r="A226" s="13">
        <f>'Master Cleaned Data Pipeline'!A221</f>
        <v/>
      </c>
      <c r="B226" s="13">
        <f>'Master Cleaned Data Pipeline'!B221</f>
        <v/>
      </c>
      <c r="C226" s="14">
        <f>'Master Cleaned Data Pipeline'!I221</f>
        <v/>
      </c>
      <c r="D226" s="14">
        <f>'Master Cleaned Data Pipeline'!F221</f>
        <v/>
      </c>
      <c r="E226" s="15">
        <f>'Master Cleaned Data Pipeline'!G221</f>
        <v/>
      </c>
      <c r="F226" s="13">
        <f>IF(E226&gt;'Stats &amp; 3-Sigma Control Bounds'!$C$21, "🚨 ANOMALY SPIKE", IF(E226&lt;0, "💳 CREDIT", "NORMAL"))</f>
        <v/>
      </c>
      <c r="G226" s="16">
        <f>(E226-'Stats &amp; 3-Sigma Control Bounds'!$C$6)/'Stats &amp; 3-Sigma Control Bounds'!$C$9</f>
        <v/>
      </c>
      <c r="H226" s="14">
        <f>IF(F226="🚨 ANOMALY SPIKE", "IMMEDIATE ESCALATION TO ENGINEERING", IF(F226="💳 CREDIT", "AUDIT CREDIT ALLOCATION", "APPROVED USAGE"))</f>
        <v/>
      </c>
    </row>
    <row r="227">
      <c r="A227" s="13">
        <f>'Master Cleaned Data Pipeline'!A222</f>
        <v/>
      </c>
      <c r="B227" s="13">
        <f>'Master Cleaned Data Pipeline'!B222</f>
        <v/>
      </c>
      <c r="C227" s="14">
        <f>'Master Cleaned Data Pipeline'!I222</f>
        <v/>
      </c>
      <c r="D227" s="14">
        <f>'Master Cleaned Data Pipeline'!F222</f>
        <v/>
      </c>
      <c r="E227" s="15">
        <f>'Master Cleaned Data Pipeline'!G222</f>
        <v/>
      </c>
      <c r="F227" s="13">
        <f>IF(E227&gt;'Stats &amp; 3-Sigma Control Bounds'!$C$21, "🚨 ANOMALY SPIKE", IF(E227&lt;0, "💳 CREDIT", "NORMAL"))</f>
        <v/>
      </c>
      <c r="G227" s="16">
        <f>(E227-'Stats &amp; 3-Sigma Control Bounds'!$C$6)/'Stats &amp; 3-Sigma Control Bounds'!$C$9</f>
        <v/>
      </c>
      <c r="H227" s="14">
        <f>IF(F227="🚨 ANOMALY SPIKE", "IMMEDIATE ESCALATION TO ENGINEERING", IF(F227="💳 CREDIT", "AUDIT CREDIT ALLOCATION", "APPROVED USAGE"))</f>
        <v/>
      </c>
    </row>
    <row r="228">
      <c r="A228" s="13">
        <f>'Master Cleaned Data Pipeline'!A223</f>
        <v/>
      </c>
      <c r="B228" s="13">
        <f>'Master Cleaned Data Pipeline'!B223</f>
        <v/>
      </c>
      <c r="C228" s="14">
        <f>'Master Cleaned Data Pipeline'!I223</f>
        <v/>
      </c>
      <c r="D228" s="14">
        <f>'Master Cleaned Data Pipeline'!F223</f>
        <v/>
      </c>
      <c r="E228" s="15">
        <f>'Master Cleaned Data Pipeline'!G223</f>
        <v/>
      </c>
      <c r="F228" s="13">
        <f>IF(E228&gt;'Stats &amp; 3-Sigma Control Bounds'!$C$21, "🚨 ANOMALY SPIKE", IF(E228&lt;0, "💳 CREDIT", "NORMAL"))</f>
        <v/>
      </c>
      <c r="G228" s="16">
        <f>(E228-'Stats &amp; 3-Sigma Control Bounds'!$C$6)/'Stats &amp; 3-Sigma Control Bounds'!$C$9</f>
        <v/>
      </c>
      <c r="H228" s="14">
        <f>IF(F228="🚨 ANOMALY SPIKE", "IMMEDIATE ESCALATION TO ENGINEERING", IF(F228="💳 CREDIT", "AUDIT CREDIT ALLOCATION", "APPROVED USAGE"))</f>
        <v/>
      </c>
    </row>
    <row r="229">
      <c r="A229" s="13">
        <f>'Master Cleaned Data Pipeline'!A224</f>
        <v/>
      </c>
      <c r="B229" s="13">
        <f>'Master Cleaned Data Pipeline'!B224</f>
        <v/>
      </c>
      <c r="C229" s="14">
        <f>'Master Cleaned Data Pipeline'!I224</f>
        <v/>
      </c>
      <c r="D229" s="14">
        <f>'Master Cleaned Data Pipeline'!F224</f>
        <v/>
      </c>
      <c r="E229" s="15">
        <f>'Master Cleaned Data Pipeline'!G224</f>
        <v/>
      </c>
      <c r="F229" s="13">
        <f>IF(E229&gt;'Stats &amp; 3-Sigma Control Bounds'!$C$21, "🚨 ANOMALY SPIKE", IF(E229&lt;0, "💳 CREDIT", "NORMAL"))</f>
        <v/>
      </c>
      <c r="G229" s="16">
        <f>(E229-'Stats &amp; 3-Sigma Control Bounds'!$C$6)/'Stats &amp; 3-Sigma Control Bounds'!$C$9</f>
        <v/>
      </c>
      <c r="H229" s="14">
        <f>IF(F229="🚨 ANOMALY SPIKE", "IMMEDIATE ESCALATION TO ENGINEERING", IF(F229="💳 CREDIT", "AUDIT CREDIT ALLOCATION", "APPROVED USAGE"))</f>
        <v/>
      </c>
    </row>
    <row r="230">
      <c r="A230" s="13">
        <f>'Master Cleaned Data Pipeline'!A225</f>
        <v/>
      </c>
      <c r="B230" s="13">
        <f>'Master Cleaned Data Pipeline'!B225</f>
        <v/>
      </c>
      <c r="C230" s="14">
        <f>'Master Cleaned Data Pipeline'!I225</f>
        <v/>
      </c>
      <c r="D230" s="14">
        <f>'Master Cleaned Data Pipeline'!F225</f>
        <v/>
      </c>
      <c r="E230" s="15">
        <f>'Master Cleaned Data Pipeline'!G225</f>
        <v/>
      </c>
      <c r="F230" s="13">
        <f>IF(E230&gt;'Stats &amp; 3-Sigma Control Bounds'!$C$21, "🚨 ANOMALY SPIKE", IF(E230&lt;0, "💳 CREDIT", "NORMAL"))</f>
        <v/>
      </c>
      <c r="G230" s="16">
        <f>(E230-'Stats &amp; 3-Sigma Control Bounds'!$C$6)/'Stats &amp; 3-Sigma Control Bounds'!$C$9</f>
        <v/>
      </c>
      <c r="H230" s="14">
        <f>IF(F230="🚨 ANOMALY SPIKE", "IMMEDIATE ESCALATION TO ENGINEERING", IF(F230="💳 CREDIT", "AUDIT CREDIT ALLOCATION", "APPROVED USAGE"))</f>
        <v/>
      </c>
    </row>
    <row r="231">
      <c r="A231" s="13">
        <f>'Master Cleaned Data Pipeline'!A226</f>
        <v/>
      </c>
      <c r="B231" s="13">
        <f>'Master Cleaned Data Pipeline'!B226</f>
        <v/>
      </c>
      <c r="C231" s="14">
        <f>'Master Cleaned Data Pipeline'!I226</f>
        <v/>
      </c>
      <c r="D231" s="14">
        <f>'Master Cleaned Data Pipeline'!F226</f>
        <v/>
      </c>
      <c r="E231" s="15">
        <f>'Master Cleaned Data Pipeline'!G226</f>
        <v/>
      </c>
      <c r="F231" s="13">
        <f>IF(E231&gt;'Stats &amp; 3-Sigma Control Bounds'!$C$21, "🚨 ANOMALY SPIKE", IF(E231&lt;0, "💳 CREDIT", "NORMAL"))</f>
        <v/>
      </c>
      <c r="G231" s="16">
        <f>(E231-'Stats &amp; 3-Sigma Control Bounds'!$C$6)/'Stats &amp; 3-Sigma Control Bounds'!$C$9</f>
        <v/>
      </c>
      <c r="H231" s="14">
        <f>IF(F231="🚨 ANOMALY SPIKE", "IMMEDIATE ESCALATION TO ENGINEERING", IF(F231="💳 CREDIT", "AUDIT CREDIT ALLOCATION", "APPROVED USAGE"))</f>
        <v/>
      </c>
    </row>
    <row r="232">
      <c r="A232" s="13">
        <f>'Master Cleaned Data Pipeline'!A227</f>
        <v/>
      </c>
      <c r="B232" s="13">
        <f>'Master Cleaned Data Pipeline'!B227</f>
        <v/>
      </c>
      <c r="C232" s="14">
        <f>'Master Cleaned Data Pipeline'!I227</f>
        <v/>
      </c>
      <c r="D232" s="14">
        <f>'Master Cleaned Data Pipeline'!F227</f>
        <v/>
      </c>
      <c r="E232" s="15">
        <f>'Master Cleaned Data Pipeline'!G227</f>
        <v/>
      </c>
      <c r="F232" s="13">
        <f>IF(E232&gt;'Stats &amp; 3-Sigma Control Bounds'!$C$21, "🚨 ANOMALY SPIKE", IF(E232&lt;0, "💳 CREDIT", "NORMAL"))</f>
        <v/>
      </c>
      <c r="G232" s="16">
        <f>(E232-'Stats &amp; 3-Sigma Control Bounds'!$C$6)/'Stats &amp; 3-Sigma Control Bounds'!$C$9</f>
        <v/>
      </c>
      <c r="H232" s="14">
        <f>IF(F232="🚨 ANOMALY SPIKE", "IMMEDIATE ESCALATION TO ENGINEERING", IF(F232="💳 CREDIT", "AUDIT CREDIT ALLOCATION", "APPROVED USAGE"))</f>
        <v/>
      </c>
    </row>
    <row r="233">
      <c r="A233" s="13">
        <f>'Master Cleaned Data Pipeline'!A228</f>
        <v/>
      </c>
      <c r="B233" s="13">
        <f>'Master Cleaned Data Pipeline'!B228</f>
        <v/>
      </c>
      <c r="C233" s="14">
        <f>'Master Cleaned Data Pipeline'!I228</f>
        <v/>
      </c>
      <c r="D233" s="14">
        <f>'Master Cleaned Data Pipeline'!F228</f>
        <v/>
      </c>
      <c r="E233" s="15">
        <f>'Master Cleaned Data Pipeline'!G228</f>
        <v/>
      </c>
      <c r="F233" s="13">
        <f>IF(E233&gt;'Stats &amp; 3-Sigma Control Bounds'!$C$21, "🚨 ANOMALY SPIKE", IF(E233&lt;0, "💳 CREDIT", "NORMAL"))</f>
        <v/>
      </c>
      <c r="G233" s="16">
        <f>(E233-'Stats &amp; 3-Sigma Control Bounds'!$C$6)/'Stats &amp; 3-Sigma Control Bounds'!$C$9</f>
        <v/>
      </c>
      <c r="H233" s="14">
        <f>IF(F233="🚨 ANOMALY SPIKE", "IMMEDIATE ESCALATION TO ENGINEERING", IF(F233="💳 CREDIT", "AUDIT CREDIT ALLOCATION", "APPROVED USAGE"))</f>
        <v/>
      </c>
    </row>
    <row r="234">
      <c r="A234" s="13">
        <f>'Master Cleaned Data Pipeline'!A229</f>
        <v/>
      </c>
      <c r="B234" s="13">
        <f>'Master Cleaned Data Pipeline'!B229</f>
        <v/>
      </c>
      <c r="C234" s="14">
        <f>'Master Cleaned Data Pipeline'!I229</f>
        <v/>
      </c>
      <c r="D234" s="14">
        <f>'Master Cleaned Data Pipeline'!F229</f>
        <v/>
      </c>
      <c r="E234" s="15">
        <f>'Master Cleaned Data Pipeline'!G229</f>
        <v/>
      </c>
      <c r="F234" s="13">
        <f>IF(E234&gt;'Stats &amp; 3-Sigma Control Bounds'!$C$21, "🚨 ANOMALY SPIKE", IF(E234&lt;0, "💳 CREDIT", "NORMAL"))</f>
        <v/>
      </c>
      <c r="G234" s="16">
        <f>(E234-'Stats &amp; 3-Sigma Control Bounds'!$C$6)/'Stats &amp; 3-Sigma Control Bounds'!$C$9</f>
        <v/>
      </c>
      <c r="H234" s="14">
        <f>IF(F234="🚨 ANOMALY SPIKE", "IMMEDIATE ESCALATION TO ENGINEERING", IF(F234="💳 CREDIT", "AUDIT CREDIT ALLOCATION", "APPROVED USAGE"))</f>
        <v/>
      </c>
    </row>
    <row r="235">
      <c r="A235" s="13">
        <f>'Master Cleaned Data Pipeline'!A230</f>
        <v/>
      </c>
      <c r="B235" s="13">
        <f>'Master Cleaned Data Pipeline'!B230</f>
        <v/>
      </c>
      <c r="C235" s="14">
        <f>'Master Cleaned Data Pipeline'!I230</f>
        <v/>
      </c>
      <c r="D235" s="14">
        <f>'Master Cleaned Data Pipeline'!F230</f>
        <v/>
      </c>
      <c r="E235" s="15">
        <f>'Master Cleaned Data Pipeline'!G230</f>
        <v/>
      </c>
      <c r="F235" s="13">
        <f>IF(E235&gt;'Stats &amp; 3-Sigma Control Bounds'!$C$21, "🚨 ANOMALY SPIKE", IF(E235&lt;0, "💳 CREDIT", "NORMAL"))</f>
        <v/>
      </c>
      <c r="G235" s="16">
        <f>(E235-'Stats &amp; 3-Sigma Control Bounds'!$C$6)/'Stats &amp; 3-Sigma Control Bounds'!$C$9</f>
        <v/>
      </c>
      <c r="H235" s="14">
        <f>IF(F235="🚨 ANOMALY SPIKE", "IMMEDIATE ESCALATION TO ENGINEERING", IF(F235="💳 CREDIT", "AUDIT CREDIT ALLOCATION", "APPROVED USAGE"))</f>
        <v/>
      </c>
    </row>
    <row r="236">
      <c r="A236" s="13">
        <f>'Master Cleaned Data Pipeline'!A231</f>
        <v/>
      </c>
      <c r="B236" s="13">
        <f>'Master Cleaned Data Pipeline'!B231</f>
        <v/>
      </c>
      <c r="C236" s="14">
        <f>'Master Cleaned Data Pipeline'!I231</f>
        <v/>
      </c>
      <c r="D236" s="14">
        <f>'Master Cleaned Data Pipeline'!F231</f>
        <v/>
      </c>
      <c r="E236" s="15">
        <f>'Master Cleaned Data Pipeline'!G231</f>
        <v/>
      </c>
      <c r="F236" s="13">
        <f>IF(E236&gt;'Stats &amp; 3-Sigma Control Bounds'!$C$21, "🚨 ANOMALY SPIKE", IF(E236&lt;0, "💳 CREDIT", "NORMAL"))</f>
        <v/>
      </c>
      <c r="G236" s="16">
        <f>(E236-'Stats &amp; 3-Sigma Control Bounds'!$C$6)/'Stats &amp; 3-Sigma Control Bounds'!$C$9</f>
        <v/>
      </c>
      <c r="H236" s="14">
        <f>IF(F236="🚨 ANOMALY SPIKE", "IMMEDIATE ESCALATION TO ENGINEERING", IF(F236="💳 CREDIT", "AUDIT CREDIT ALLOCATION", "APPROVED USAGE"))</f>
        <v/>
      </c>
    </row>
    <row r="237">
      <c r="A237" s="13">
        <f>'Master Cleaned Data Pipeline'!A232</f>
        <v/>
      </c>
      <c r="B237" s="13">
        <f>'Master Cleaned Data Pipeline'!B232</f>
        <v/>
      </c>
      <c r="C237" s="14">
        <f>'Master Cleaned Data Pipeline'!I232</f>
        <v/>
      </c>
      <c r="D237" s="14">
        <f>'Master Cleaned Data Pipeline'!F232</f>
        <v/>
      </c>
      <c r="E237" s="15">
        <f>'Master Cleaned Data Pipeline'!G232</f>
        <v/>
      </c>
      <c r="F237" s="13">
        <f>IF(E237&gt;'Stats &amp; 3-Sigma Control Bounds'!$C$21, "🚨 ANOMALY SPIKE", IF(E237&lt;0, "💳 CREDIT", "NORMAL"))</f>
        <v/>
      </c>
      <c r="G237" s="16">
        <f>(E237-'Stats &amp; 3-Sigma Control Bounds'!$C$6)/'Stats &amp; 3-Sigma Control Bounds'!$C$9</f>
        <v/>
      </c>
      <c r="H237" s="14">
        <f>IF(F237="🚨 ANOMALY SPIKE", "IMMEDIATE ESCALATION TO ENGINEERING", IF(F237="💳 CREDIT", "AUDIT CREDIT ALLOCATION", "APPROVED USAGE"))</f>
        <v/>
      </c>
    </row>
    <row r="238">
      <c r="A238" s="13">
        <f>'Master Cleaned Data Pipeline'!A233</f>
        <v/>
      </c>
      <c r="B238" s="13">
        <f>'Master Cleaned Data Pipeline'!B233</f>
        <v/>
      </c>
      <c r="C238" s="14">
        <f>'Master Cleaned Data Pipeline'!I233</f>
        <v/>
      </c>
      <c r="D238" s="14">
        <f>'Master Cleaned Data Pipeline'!F233</f>
        <v/>
      </c>
      <c r="E238" s="15">
        <f>'Master Cleaned Data Pipeline'!G233</f>
        <v/>
      </c>
      <c r="F238" s="13">
        <f>IF(E238&gt;'Stats &amp; 3-Sigma Control Bounds'!$C$21, "🚨 ANOMALY SPIKE", IF(E238&lt;0, "💳 CREDIT", "NORMAL"))</f>
        <v/>
      </c>
      <c r="G238" s="16">
        <f>(E238-'Stats &amp; 3-Sigma Control Bounds'!$C$6)/'Stats &amp; 3-Sigma Control Bounds'!$C$9</f>
        <v/>
      </c>
      <c r="H238" s="14">
        <f>IF(F238="🚨 ANOMALY SPIKE", "IMMEDIATE ESCALATION TO ENGINEERING", IF(F238="💳 CREDIT", "AUDIT CREDIT ALLOCATION", "APPROVED USAGE"))</f>
        <v/>
      </c>
    </row>
    <row r="239">
      <c r="A239" s="13">
        <f>'Master Cleaned Data Pipeline'!A234</f>
        <v/>
      </c>
      <c r="B239" s="13">
        <f>'Master Cleaned Data Pipeline'!B234</f>
        <v/>
      </c>
      <c r="C239" s="14">
        <f>'Master Cleaned Data Pipeline'!I234</f>
        <v/>
      </c>
      <c r="D239" s="14">
        <f>'Master Cleaned Data Pipeline'!F234</f>
        <v/>
      </c>
      <c r="E239" s="15">
        <f>'Master Cleaned Data Pipeline'!G234</f>
        <v/>
      </c>
      <c r="F239" s="13">
        <f>IF(E239&gt;'Stats &amp; 3-Sigma Control Bounds'!$C$21, "🚨 ANOMALY SPIKE", IF(E239&lt;0, "💳 CREDIT", "NORMAL"))</f>
        <v/>
      </c>
      <c r="G239" s="16">
        <f>(E239-'Stats &amp; 3-Sigma Control Bounds'!$C$6)/'Stats &amp; 3-Sigma Control Bounds'!$C$9</f>
        <v/>
      </c>
      <c r="H239" s="14">
        <f>IF(F239="🚨 ANOMALY SPIKE", "IMMEDIATE ESCALATION TO ENGINEERING", IF(F239="💳 CREDIT", "AUDIT CREDIT ALLOCATION", "APPROVED USAGE"))</f>
        <v/>
      </c>
    </row>
    <row r="240">
      <c r="A240" s="13">
        <f>'Master Cleaned Data Pipeline'!A235</f>
        <v/>
      </c>
      <c r="B240" s="13">
        <f>'Master Cleaned Data Pipeline'!B235</f>
        <v/>
      </c>
      <c r="C240" s="14">
        <f>'Master Cleaned Data Pipeline'!I235</f>
        <v/>
      </c>
      <c r="D240" s="14">
        <f>'Master Cleaned Data Pipeline'!F235</f>
        <v/>
      </c>
      <c r="E240" s="15">
        <f>'Master Cleaned Data Pipeline'!G235</f>
        <v/>
      </c>
      <c r="F240" s="13">
        <f>IF(E240&gt;'Stats &amp; 3-Sigma Control Bounds'!$C$21, "🚨 ANOMALY SPIKE", IF(E240&lt;0, "💳 CREDIT", "NORMAL"))</f>
        <v/>
      </c>
      <c r="G240" s="16">
        <f>(E240-'Stats &amp; 3-Sigma Control Bounds'!$C$6)/'Stats &amp; 3-Sigma Control Bounds'!$C$9</f>
        <v/>
      </c>
      <c r="H240" s="14">
        <f>IF(F240="🚨 ANOMALY SPIKE", "IMMEDIATE ESCALATION TO ENGINEERING", IF(F240="💳 CREDIT", "AUDIT CREDIT ALLOCATION", "APPROVED USAGE"))</f>
        <v/>
      </c>
    </row>
    <row r="241">
      <c r="A241" s="13">
        <f>'Master Cleaned Data Pipeline'!A236</f>
        <v/>
      </c>
      <c r="B241" s="13">
        <f>'Master Cleaned Data Pipeline'!B236</f>
        <v/>
      </c>
      <c r="C241" s="14">
        <f>'Master Cleaned Data Pipeline'!I236</f>
        <v/>
      </c>
      <c r="D241" s="14">
        <f>'Master Cleaned Data Pipeline'!F236</f>
        <v/>
      </c>
      <c r="E241" s="15">
        <f>'Master Cleaned Data Pipeline'!G236</f>
        <v/>
      </c>
      <c r="F241" s="13">
        <f>IF(E241&gt;'Stats &amp; 3-Sigma Control Bounds'!$C$21, "🚨 ANOMALY SPIKE", IF(E241&lt;0, "💳 CREDIT", "NORMAL"))</f>
        <v/>
      </c>
      <c r="G241" s="16">
        <f>(E241-'Stats &amp; 3-Sigma Control Bounds'!$C$6)/'Stats &amp; 3-Sigma Control Bounds'!$C$9</f>
        <v/>
      </c>
      <c r="H241" s="14">
        <f>IF(F241="🚨 ANOMALY SPIKE", "IMMEDIATE ESCALATION TO ENGINEERING", IF(F241="💳 CREDIT", "AUDIT CREDIT ALLOCATION", "APPROVED USAGE"))</f>
        <v/>
      </c>
    </row>
    <row r="242">
      <c r="A242" s="13">
        <f>'Master Cleaned Data Pipeline'!A237</f>
        <v/>
      </c>
      <c r="B242" s="13">
        <f>'Master Cleaned Data Pipeline'!B237</f>
        <v/>
      </c>
      <c r="C242" s="14">
        <f>'Master Cleaned Data Pipeline'!I237</f>
        <v/>
      </c>
      <c r="D242" s="14">
        <f>'Master Cleaned Data Pipeline'!F237</f>
        <v/>
      </c>
      <c r="E242" s="15">
        <f>'Master Cleaned Data Pipeline'!G237</f>
        <v/>
      </c>
      <c r="F242" s="13">
        <f>IF(E242&gt;'Stats &amp; 3-Sigma Control Bounds'!$C$21, "🚨 ANOMALY SPIKE", IF(E242&lt;0, "💳 CREDIT", "NORMAL"))</f>
        <v/>
      </c>
      <c r="G242" s="16">
        <f>(E242-'Stats &amp; 3-Sigma Control Bounds'!$C$6)/'Stats &amp; 3-Sigma Control Bounds'!$C$9</f>
        <v/>
      </c>
      <c r="H242" s="14">
        <f>IF(F242="🚨 ANOMALY SPIKE", "IMMEDIATE ESCALATION TO ENGINEERING", IF(F242="💳 CREDIT", "AUDIT CREDIT ALLOCATION", "APPROVED USAGE"))</f>
        <v/>
      </c>
    </row>
    <row r="243">
      <c r="A243" s="13">
        <f>'Master Cleaned Data Pipeline'!A238</f>
        <v/>
      </c>
      <c r="B243" s="13">
        <f>'Master Cleaned Data Pipeline'!B238</f>
        <v/>
      </c>
      <c r="C243" s="14">
        <f>'Master Cleaned Data Pipeline'!I238</f>
        <v/>
      </c>
      <c r="D243" s="14">
        <f>'Master Cleaned Data Pipeline'!F238</f>
        <v/>
      </c>
      <c r="E243" s="15">
        <f>'Master Cleaned Data Pipeline'!G238</f>
        <v/>
      </c>
      <c r="F243" s="13">
        <f>IF(E243&gt;'Stats &amp; 3-Sigma Control Bounds'!$C$21, "🚨 ANOMALY SPIKE", IF(E243&lt;0, "💳 CREDIT", "NORMAL"))</f>
        <v/>
      </c>
      <c r="G243" s="16">
        <f>(E243-'Stats &amp; 3-Sigma Control Bounds'!$C$6)/'Stats &amp; 3-Sigma Control Bounds'!$C$9</f>
        <v/>
      </c>
      <c r="H243" s="14">
        <f>IF(F243="🚨 ANOMALY SPIKE", "IMMEDIATE ESCALATION TO ENGINEERING", IF(F243="💳 CREDIT", "AUDIT CREDIT ALLOCATION", "APPROVED USAGE"))</f>
        <v/>
      </c>
    </row>
    <row r="244">
      <c r="A244" s="13">
        <f>'Master Cleaned Data Pipeline'!A239</f>
        <v/>
      </c>
      <c r="B244" s="13">
        <f>'Master Cleaned Data Pipeline'!B239</f>
        <v/>
      </c>
      <c r="C244" s="14">
        <f>'Master Cleaned Data Pipeline'!I239</f>
        <v/>
      </c>
      <c r="D244" s="14">
        <f>'Master Cleaned Data Pipeline'!F239</f>
        <v/>
      </c>
      <c r="E244" s="15">
        <f>'Master Cleaned Data Pipeline'!G239</f>
        <v/>
      </c>
      <c r="F244" s="13">
        <f>IF(E244&gt;'Stats &amp; 3-Sigma Control Bounds'!$C$21, "🚨 ANOMALY SPIKE", IF(E244&lt;0, "💳 CREDIT", "NORMAL"))</f>
        <v/>
      </c>
      <c r="G244" s="16">
        <f>(E244-'Stats &amp; 3-Sigma Control Bounds'!$C$6)/'Stats &amp; 3-Sigma Control Bounds'!$C$9</f>
        <v/>
      </c>
      <c r="H244" s="14">
        <f>IF(F244="🚨 ANOMALY SPIKE", "IMMEDIATE ESCALATION TO ENGINEERING", IF(F244="💳 CREDIT", "AUDIT CREDIT ALLOCATION", "APPROVED USAGE"))</f>
        <v/>
      </c>
    </row>
    <row r="245">
      <c r="A245" s="13">
        <f>'Master Cleaned Data Pipeline'!A240</f>
        <v/>
      </c>
      <c r="B245" s="13">
        <f>'Master Cleaned Data Pipeline'!B240</f>
        <v/>
      </c>
      <c r="C245" s="14">
        <f>'Master Cleaned Data Pipeline'!I240</f>
        <v/>
      </c>
      <c r="D245" s="14">
        <f>'Master Cleaned Data Pipeline'!F240</f>
        <v/>
      </c>
      <c r="E245" s="15">
        <f>'Master Cleaned Data Pipeline'!G240</f>
        <v/>
      </c>
      <c r="F245" s="13">
        <f>IF(E245&gt;'Stats &amp; 3-Sigma Control Bounds'!$C$21, "🚨 ANOMALY SPIKE", IF(E245&lt;0, "💳 CREDIT", "NORMAL"))</f>
        <v/>
      </c>
      <c r="G245" s="16">
        <f>(E245-'Stats &amp; 3-Sigma Control Bounds'!$C$6)/'Stats &amp; 3-Sigma Control Bounds'!$C$9</f>
        <v/>
      </c>
      <c r="H245" s="14">
        <f>IF(F245="🚨 ANOMALY SPIKE", "IMMEDIATE ESCALATION TO ENGINEERING", IF(F245="💳 CREDIT", "AUDIT CREDIT ALLOCATION", "APPROVED USAGE"))</f>
        <v/>
      </c>
    </row>
    <row r="246">
      <c r="A246" s="13">
        <f>'Master Cleaned Data Pipeline'!A241</f>
        <v/>
      </c>
      <c r="B246" s="13">
        <f>'Master Cleaned Data Pipeline'!B241</f>
        <v/>
      </c>
      <c r="C246" s="14">
        <f>'Master Cleaned Data Pipeline'!I241</f>
        <v/>
      </c>
      <c r="D246" s="14">
        <f>'Master Cleaned Data Pipeline'!F241</f>
        <v/>
      </c>
      <c r="E246" s="15">
        <f>'Master Cleaned Data Pipeline'!G241</f>
        <v/>
      </c>
      <c r="F246" s="13">
        <f>IF(E246&gt;'Stats &amp; 3-Sigma Control Bounds'!$C$21, "🚨 ANOMALY SPIKE", IF(E246&lt;0, "💳 CREDIT", "NORMAL"))</f>
        <v/>
      </c>
      <c r="G246" s="16">
        <f>(E246-'Stats &amp; 3-Sigma Control Bounds'!$C$6)/'Stats &amp; 3-Sigma Control Bounds'!$C$9</f>
        <v/>
      </c>
      <c r="H246" s="14">
        <f>IF(F246="🚨 ANOMALY SPIKE", "IMMEDIATE ESCALATION TO ENGINEERING", IF(F246="💳 CREDIT", "AUDIT CREDIT ALLOCATION", "APPROVED USAGE"))</f>
        <v/>
      </c>
    </row>
    <row r="247">
      <c r="A247" s="13">
        <f>'Master Cleaned Data Pipeline'!A242</f>
        <v/>
      </c>
      <c r="B247" s="13">
        <f>'Master Cleaned Data Pipeline'!B242</f>
        <v/>
      </c>
      <c r="C247" s="14">
        <f>'Master Cleaned Data Pipeline'!I242</f>
        <v/>
      </c>
      <c r="D247" s="14">
        <f>'Master Cleaned Data Pipeline'!F242</f>
        <v/>
      </c>
      <c r="E247" s="15">
        <f>'Master Cleaned Data Pipeline'!G242</f>
        <v/>
      </c>
      <c r="F247" s="13">
        <f>IF(E247&gt;'Stats &amp; 3-Sigma Control Bounds'!$C$21, "🚨 ANOMALY SPIKE", IF(E247&lt;0, "💳 CREDIT", "NORMAL"))</f>
        <v/>
      </c>
      <c r="G247" s="16">
        <f>(E247-'Stats &amp; 3-Sigma Control Bounds'!$C$6)/'Stats &amp; 3-Sigma Control Bounds'!$C$9</f>
        <v/>
      </c>
      <c r="H247" s="14">
        <f>IF(F247="🚨 ANOMALY SPIKE", "IMMEDIATE ESCALATION TO ENGINEERING", IF(F247="💳 CREDIT", "AUDIT CREDIT ALLOCATION", "APPROVED USAGE"))</f>
        <v/>
      </c>
    </row>
    <row r="248">
      <c r="A248" s="13">
        <f>'Master Cleaned Data Pipeline'!A243</f>
        <v/>
      </c>
      <c r="B248" s="13">
        <f>'Master Cleaned Data Pipeline'!B243</f>
        <v/>
      </c>
      <c r="C248" s="14">
        <f>'Master Cleaned Data Pipeline'!I243</f>
        <v/>
      </c>
      <c r="D248" s="14">
        <f>'Master Cleaned Data Pipeline'!F243</f>
        <v/>
      </c>
      <c r="E248" s="15">
        <f>'Master Cleaned Data Pipeline'!G243</f>
        <v/>
      </c>
      <c r="F248" s="13">
        <f>IF(E248&gt;'Stats &amp; 3-Sigma Control Bounds'!$C$21, "🚨 ANOMALY SPIKE", IF(E248&lt;0, "💳 CREDIT", "NORMAL"))</f>
        <v/>
      </c>
      <c r="G248" s="16">
        <f>(E248-'Stats &amp; 3-Sigma Control Bounds'!$C$6)/'Stats &amp; 3-Sigma Control Bounds'!$C$9</f>
        <v/>
      </c>
      <c r="H248" s="14">
        <f>IF(F248="🚨 ANOMALY SPIKE", "IMMEDIATE ESCALATION TO ENGINEERING", IF(F248="💳 CREDIT", "AUDIT CREDIT ALLOCATION", "APPROVED USAGE"))</f>
        <v/>
      </c>
    </row>
    <row r="249">
      <c r="A249" s="13">
        <f>'Master Cleaned Data Pipeline'!A244</f>
        <v/>
      </c>
      <c r="B249" s="13">
        <f>'Master Cleaned Data Pipeline'!B244</f>
        <v/>
      </c>
      <c r="C249" s="14">
        <f>'Master Cleaned Data Pipeline'!I244</f>
        <v/>
      </c>
      <c r="D249" s="14">
        <f>'Master Cleaned Data Pipeline'!F244</f>
        <v/>
      </c>
      <c r="E249" s="15">
        <f>'Master Cleaned Data Pipeline'!G244</f>
        <v/>
      </c>
      <c r="F249" s="13">
        <f>IF(E249&gt;'Stats &amp; 3-Sigma Control Bounds'!$C$21, "🚨 ANOMALY SPIKE", IF(E249&lt;0, "💳 CREDIT", "NORMAL"))</f>
        <v/>
      </c>
      <c r="G249" s="16">
        <f>(E249-'Stats &amp; 3-Sigma Control Bounds'!$C$6)/'Stats &amp; 3-Sigma Control Bounds'!$C$9</f>
        <v/>
      </c>
      <c r="H249" s="14">
        <f>IF(F249="🚨 ANOMALY SPIKE", "IMMEDIATE ESCALATION TO ENGINEERING", IF(F249="💳 CREDIT", "AUDIT CREDIT ALLOCATION", "APPROVED USAGE"))</f>
        <v/>
      </c>
    </row>
    <row r="250">
      <c r="A250" s="13">
        <f>'Master Cleaned Data Pipeline'!A245</f>
        <v/>
      </c>
      <c r="B250" s="13">
        <f>'Master Cleaned Data Pipeline'!B245</f>
        <v/>
      </c>
      <c r="C250" s="14">
        <f>'Master Cleaned Data Pipeline'!I245</f>
        <v/>
      </c>
      <c r="D250" s="14">
        <f>'Master Cleaned Data Pipeline'!F245</f>
        <v/>
      </c>
      <c r="E250" s="15">
        <f>'Master Cleaned Data Pipeline'!G245</f>
        <v/>
      </c>
      <c r="F250" s="13">
        <f>IF(E250&gt;'Stats &amp; 3-Sigma Control Bounds'!$C$21, "🚨 ANOMALY SPIKE", IF(E250&lt;0, "💳 CREDIT", "NORMAL"))</f>
        <v/>
      </c>
      <c r="G250" s="16">
        <f>(E250-'Stats &amp; 3-Sigma Control Bounds'!$C$6)/'Stats &amp; 3-Sigma Control Bounds'!$C$9</f>
        <v/>
      </c>
      <c r="H250" s="14">
        <f>IF(F250="🚨 ANOMALY SPIKE", "IMMEDIATE ESCALATION TO ENGINEERING", IF(F250="💳 CREDIT", "AUDIT CREDIT ALLOCATION", "APPROVED USAGE"))</f>
        <v/>
      </c>
    </row>
    <row r="251">
      <c r="A251" s="13">
        <f>'Master Cleaned Data Pipeline'!A246</f>
        <v/>
      </c>
      <c r="B251" s="13">
        <f>'Master Cleaned Data Pipeline'!B246</f>
        <v/>
      </c>
      <c r="C251" s="14">
        <f>'Master Cleaned Data Pipeline'!I246</f>
        <v/>
      </c>
      <c r="D251" s="14">
        <f>'Master Cleaned Data Pipeline'!F246</f>
        <v/>
      </c>
      <c r="E251" s="15">
        <f>'Master Cleaned Data Pipeline'!G246</f>
        <v/>
      </c>
      <c r="F251" s="13">
        <f>IF(E251&gt;'Stats &amp; 3-Sigma Control Bounds'!$C$21, "🚨 ANOMALY SPIKE", IF(E251&lt;0, "💳 CREDIT", "NORMAL"))</f>
        <v/>
      </c>
      <c r="G251" s="16">
        <f>(E251-'Stats &amp; 3-Sigma Control Bounds'!$C$6)/'Stats &amp; 3-Sigma Control Bounds'!$C$9</f>
        <v/>
      </c>
      <c r="H251" s="14">
        <f>IF(F251="🚨 ANOMALY SPIKE", "IMMEDIATE ESCALATION TO ENGINEERING", IF(F251="💳 CREDIT", "AUDIT CREDIT ALLOCATION", "APPROVED USAGE"))</f>
        <v/>
      </c>
    </row>
    <row r="252">
      <c r="A252" s="13">
        <f>'Master Cleaned Data Pipeline'!A247</f>
        <v/>
      </c>
      <c r="B252" s="13">
        <f>'Master Cleaned Data Pipeline'!B247</f>
        <v/>
      </c>
      <c r="C252" s="14">
        <f>'Master Cleaned Data Pipeline'!I247</f>
        <v/>
      </c>
      <c r="D252" s="14">
        <f>'Master Cleaned Data Pipeline'!F247</f>
        <v/>
      </c>
      <c r="E252" s="15">
        <f>'Master Cleaned Data Pipeline'!G247</f>
        <v/>
      </c>
      <c r="F252" s="13">
        <f>IF(E252&gt;'Stats &amp; 3-Sigma Control Bounds'!$C$21, "🚨 ANOMALY SPIKE", IF(E252&lt;0, "💳 CREDIT", "NORMAL"))</f>
        <v/>
      </c>
      <c r="G252" s="16">
        <f>(E252-'Stats &amp; 3-Sigma Control Bounds'!$C$6)/'Stats &amp; 3-Sigma Control Bounds'!$C$9</f>
        <v/>
      </c>
      <c r="H252" s="14">
        <f>IF(F252="🚨 ANOMALY SPIKE", "IMMEDIATE ESCALATION TO ENGINEERING", IF(F252="💳 CREDIT", "AUDIT CREDIT ALLOCATION", "APPROVED USAGE"))</f>
        <v/>
      </c>
    </row>
    <row r="253">
      <c r="A253" s="13">
        <f>'Master Cleaned Data Pipeline'!A248</f>
        <v/>
      </c>
      <c r="B253" s="13">
        <f>'Master Cleaned Data Pipeline'!B248</f>
        <v/>
      </c>
      <c r="C253" s="14">
        <f>'Master Cleaned Data Pipeline'!I248</f>
        <v/>
      </c>
      <c r="D253" s="14">
        <f>'Master Cleaned Data Pipeline'!F248</f>
        <v/>
      </c>
      <c r="E253" s="15">
        <f>'Master Cleaned Data Pipeline'!G248</f>
        <v/>
      </c>
      <c r="F253" s="13">
        <f>IF(E253&gt;'Stats &amp; 3-Sigma Control Bounds'!$C$21, "🚨 ANOMALY SPIKE", IF(E253&lt;0, "💳 CREDIT", "NORMAL"))</f>
        <v/>
      </c>
      <c r="G253" s="16">
        <f>(E253-'Stats &amp; 3-Sigma Control Bounds'!$C$6)/'Stats &amp; 3-Sigma Control Bounds'!$C$9</f>
        <v/>
      </c>
      <c r="H253" s="14">
        <f>IF(F253="🚨 ANOMALY SPIKE", "IMMEDIATE ESCALATION TO ENGINEERING", IF(F253="💳 CREDIT", "AUDIT CREDIT ALLOCATION", "APPROVED USAGE"))</f>
        <v/>
      </c>
    </row>
    <row r="254">
      <c r="A254" s="13">
        <f>'Master Cleaned Data Pipeline'!A249</f>
        <v/>
      </c>
      <c r="B254" s="13">
        <f>'Master Cleaned Data Pipeline'!B249</f>
        <v/>
      </c>
      <c r="C254" s="14">
        <f>'Master Cleaned Data Pipeline'!I249</f>
        <v/>
      </c>
      <c r="D254" s="14">
        <f>'Master Cleaned Data Pipeline'!F249</f>
        <v/>
      </c>
      <c r="E254" s="15">
        <f>'Master Cleaned Data Pipeline'!G249</f>
        <v/>
      </c>
      <c r="F254" s="13">
        <f>IF(E254&gt;'Stats &amp; 3-Sigma Control Bounds'!$C$21, "🚨 ANOMALY SPIKE", IF(E254&lt;0, "💳 CREDIT", "NORMAL"))</f>
        <v/>
      </c>
      <c r="G254" s="16">
        <f>(E254-'Stats &amp; 3-Sigma Control Bounds'!$C$6)/'Stats &amp; 3-Sigma Control Bounds'!$C$9</f>
        <v/>
      </c>
      <c r="H254" s="14">
        <f>IF(F254="🚨 ANOMALY SPIKE", "IMMEDIATE ESCALATION TO ENGINEERING", IF(F254="💳 CREDIT", "AUDIT CREDIT ALLOCATION", "APPROVED USAGE"))</f>
        <v/>
      </c>
    </row>
    <row r="255">
      <c r="A255" s="13">
        <f>'Master Cleaned Data Pipeline'!A250</f>
        <v/>
      </c>
      <c r="B255" s="13">
        <f>'Master Cleaned Data Pipeline'!B250</f>
        <v/>
      </c>
      <c r="C255" s="14">
        <f>'Master Cleaned Data Pipeline'!I250</f>
        <v/>
      </c>
      <c r="D255" s="14">
        <f>'Master Cleaned Data Pipeline'!F250</f>
        <v/>
      </c>
      <c r="E255" s="15">
        <f>'Master Cleaned Data Pipeline'!G250</f>
        <v/>
      </c>
      <c r="F255" s="13">
        <f>IF(E255&gt;'Stats &amp; 3-Sigma Control Bounds'!$C$21, "🚨 ANOMALY SPIKE", IF(E255&lt;0, "💳 CREDIT", "NORMAL"))</f>
        <v/>
      </c>
      <c r="G255" s="16">
        <f>(E255-'Stats &amp; 3-Sigma Control Bounds'!$C$6)/'Stats &amp; 3-Sigma Control Bounds'!$C$9</f>
        <v/>
      </c>
      <c r="H255" s="14">
        <f>IF(F255="🚨 ANOMALY SPIKE", "IMMEDIATE ESCALATION TO ENGINEERING", IF(F255="💳 CREDIT", "AUDIT CREDIT ALLOCATION", "APPROVED USAGE"))</f>
        <v/>
      </c>
    </row>
    <row r="256">
      <c r="A256" s="13">
        <f>'Master Cleaned Data Pipeline'!A251</f>
        <v/>
      </c>
      <c r="B256" s="13">
        <f>'Master Cleaned Data Pipeline'!B251</f>
        <v/>
      </c>
      <c r="C256" s="14">
        <f>'Master Cleaned Data Pipeline'!I251</f>
        <v/>
      </c>
      <c r="D256" s="14">
        <f>'Master Cleaned Data Pipeline'!F251</f>
        <v/>
      </c>
      <c r="E256" s="15">
        <f>'Master Cleaned Data Pipeline'!G251</f>
        <v/>
      </c>
      <c r="F256" s="13">
        <f>IF(E256&gt;'Stats &amp; 3-Sigma Control Bounds'!$C$21, "🚨 ANOMALY SPIKE", IF(E256&lt;0, "💳 CREDIT", "NORMAL"))</f>
        <v/>
      </c>
      <c r="G256" s="16">
        <f>(E256-'Stats &amp; 3-Sigma Control Bounds'!$C$6)/'Stats &amp; 3-Sigma Control Bounds'!$C$9</f>
        <v/>
      </c>
      <c r="H256" s="14">
        <f>IF(F256="🚨 ANOMALY SPIKE", "IMMEDIATE ESCALATION TO ENGINEERING", IF(F256="💳 CREDIT", "AUDIT CREDIT ALLOCATION", "APPROVED USAGE"))</f>
        <v/>
      </c>
    </row>
    <row r="257">
      <c r="A257" s="13">
        <f>'Master Cleaned Data Pipeline'!A252</f>
        <v/>
      </c>
      <c r="B257" s="13">
        <f>'Master Cleaned Data Pipeline'!B252</f>
        <v/>
      </c>
      <c r="C257" s="14">
        <f>'Master Cleaned Data Pipeline'!I252</f>
        <v/>
      </c>
      <c r="D257" s="14">
        <f>'Master Cleaned Data Pipeline'!F252</f>
        <v/>
      </c>
      <c r="E257" s="15">
        <f>'Master Cleaned Data Pipeline'!G252</f>
        <v/>
      </c>
      <c r="F257" s="13">
        <f>IF(E257&gt;'Stats &amp; 3-Sigma Control Bounds'!$C$21, "🚨 ANOMALY SPIKE", IF(E257&lt;0, "💳 CREDIT", "NORMAL"))</f>
        <v/>
      </c>
      <c r="G257" s="16">
        <f>(E257-'Stats &amp; 3-Sigma Control Bounds'!$C$6)/'Stats &amp; 3-Sigma Control Bounds'!$C$9</f>
        <v/>
      </c>
      <c r="H257" s="14">
        <f>IF(F257="🚨 ANOMALY SPIKE", "IMMEDIATE ESCALATION TO ENGINEERING", IF(F257="💳 CREDIT", "AUDIT CREDIT ALLOCATION", "APPROVED USAGE"))</f>
        <v/>
      </c>
    </row>
    <row r="258">
      <c r="A258" s="13">
        <f>'Master Cleaned Data Pipeline'!A253</f>
        <v/>
      </c>
      <c r="B258" s="13">
        <f>'Master Cleaned Data Pipeline'!B253</f>
        <v/>
      </c>
      <c r="C258" s="14">
        <f>'Master Cleaned Data Pipeline'!I253</f>
        <v/>
      </c>
      <c r="D258" s="14">
        <f>'Master Cleaned Data Pipeline'!F253</f>
        <v/>
      </c>
      <c r="E258" s="15">
        <f>'Master Cleaned Data Pipeline'!G253</f>
        <v/>
      </c>
      <c r="F258" s="13">
        <f>IF(E258&gt;'Stats &amp; 3-Sigma Control Bounds'!$C$21, "🚨 ANOMALY SPIKE", IF(E258&lt;0, "💳 CREDIT", "NORMAL"))</f>
        <v/>
      </c>
      <c r="G258" s="16">
        <f>(E258-'Stats &amp; 3-Sigma Control Bounds'!$C$6)/'Stats &amp; 3-Sigma Control Bounds'!$C$9</f>
        <v/>
      </c>
      <c r="H258" s="14">
        <f>IF(F258="🚨 ANOMALY SPIKE", "IMMEDIATE ESCALATION TO ENGINEERING", IF(F258="💳 CREDIT", "AUDIT CREDIT ALLOCATION", "APPROVED USAGE"))</f>
        <v/>
      </c>
    </row>
    <row r="259">
      <c r="A259" s="13">
        <f>'Master Cleaned Data Pipeline'!A254</f>
        <v/>
      </c>
      <c r="B259" s="13">
        <f>'Master Cleaned Data Pipeline'!B254</f>
        <v/>
      </c>
      <c r="C259" s="14">
        <f>'Master Cleaned Data Pipeline'!I254</f>
        <v/>
      </c>
      <c r="D259" s="14">
        <f>'Master Cleaned Data Pipeline'!F254</f>
        <v/>
      </c>
      <c r="E259" s="15">
        <f>'Master Cleaned Data Pipeline'!G254</f>
        <v/>
      </c>
      <c r="F259" s="13">
        <f>IF(E259&gt;'Stats &amp; 3-Sigma Control Bounds'!$C$21, "🚨 ANOMALY SPIKE", IF(E259&lt;0, "💳 CREDIT", "NORMAL"))</f>
        <v/>
      </c>
      <c r="G259" s="16">
        <f>(E259-'Stats &amp; 3-Sigma Control Bounds'!$C$6)/'Stats &amp; 3-Sigma Control Bounds'!$C$9</f>
        <v/>
      </c>
      <c r="H259" s="14">
        <f>IF(F259="🚨 ANOMALY SPIKE", "IMMEDIATE ESCALATION TO ENGINEERING", IF(F259="💳 CREDIT", "AUDIT CREDIT ALLOCATION", "APPROVED USAGE"))</f>
        <v/>
      </c>
    </row>
    <row r="260">
      <c r="A260" s="13">
        <f>'Master Cleaned Data Pipeline'!A255</f>
        <v/>
      </c>
      <c r="B260" s="13">
        <f>'Master Cleaned Data Pipeline'!B255</f>
        <v/>
      </c>
      <c r="C260" s="14">
        <f>'Master Cleaned Data Pipeline'!I255</f>
        <v/>
      </c>
      <c r="D260" s="14">
        <f>'Master Cleaned Data Pipeline'!F255</f>
        <v/>
      </c>
      <c r="E260" s="15">
        <f>'Master Cleaned Data Pipeline'!G255</f>
        <v/>
      </c>
      <c r="F260" s="13">
        <f>IF(E260&gt;'Stats &amp; 3-Sigma Control Bounds'!$C$21, "🚨 ANOMALY SPIKE", IF(E260&lt;0, "💳 CREDIT", "NORMAL"))</f>
        <v/>
      </c>
      <c r="G260" s="16">
        <f>(E260-'Stats &amp; 3-Sigma Control Bounds'!$C$6)/'Stats &amp; 3-Sigma Control Bounds'!$C$9</f>
        <v/>
      </c>
      <c r="H260" s="14">
        <f>IF(F260="🚨 ANOMALY SPIKE", "IMMEDIATE ESCALATION TO ENGINEERING", IF(F260="💳 CREDIT", "AUDIT CREDIT ALLOCATION", "APPROVED USAGE"))</f>
        <v/>
      </c>
    </row>
    <row r="261">
      <c r="A261" s="13">
        <f>'Master Cleaned Data Pipeline'!A256</f>
        <v/>
      </c>
      <c r="B261" s="13">
        <f>'Master Cleaned Data Pipeline'!B256</f>
        <v/>
      </c>
      <c r="C261" s="14">
        <f>'Master Cleaned Data Pipeline'!I256</f>
        <v/>
      </c>
      <c r="D261" s="14">
        <f>'Master Cleaned Data Pipeline'!F256</f>
        <v/>
      </c>
      <c r="E261" s="15">
        <f>'Master Cleaned Data Pipeline'!G256</f>
        <v/>
      </c>
      <c r="F261" s="13">
        <f>IF(E261&gt;'Stats &amp; 3-Sigma Control Bounds'!$C$21, "🚨 ANOMALY SPIKE", IF(E261&lt;0, "💳 CREDIT", "NORMAL"))</f>
        <v/>
      </c>
      <c r="G261" s="16">
        <f>(E261-'Stats &amp; 3-Sigma Control Bounds'!$C$6)/'Stats &amp; 3-Sigma Control Bounds'!$C$9</f>
        <v/>
      </c>
      <c r="H261" s="14">
        <f>IF(F261="🚨 ANOMALY SPIKE", "IMMEDIATE ESCALATION TO ENGINEERING", IF(F261="💳 CREDIT", "AUDIT CREDIT ALLOCATION", "APPROVED USAGE"))</f>
        <v/>
      </c>
    </row>
    <row r="262">
      <c r="A262" s="13">
        <f>'Master Cleaned Data Pipeline'!A257</f>
        <v/>
      </c>
      <c r="B262" s="13">
        <f>'Master Cleaned Data Pipeline'!B257</f>
        <v/>
      </c>
      <c r="C262" s="14">
        <f>'Master Cleaned Data Pipeline'!I257</f>
        <v/>
      </c>
      <c r="D262" s="14">
        <f>'Master Cleaned Data Pipeline'!F257</f>
        <v/>
      </c>
      <c r="E262" s="15">
        <f>'Master Cleaned Data Pipeline'!G257</f>
        <v/>
      </c>
      <c r="F262" s="13">
        <f>IF(E262&gt;'Stats &amp; 3-Sigma Control Bounds'!$C$21, "🚨 ANOMALY SPIKE", IF(E262&lt;0, "💳 CREDIT", "NORMAL"))</f>
        <v/>
      </c>
      <c r="G262" s="16">
        <f>(E262-'Stats &amp; 3-Sigma Control Bounds'!$C$6)/'Stats &amp; 3-Sigma Control Bounds'!$C$9</f>
        <v/>
      </c>
      <c r="H262" s="14">
        <f>IF(F262="🚨 ANOMALY SPIKE", "IMMEDIATE ESCALATION TO ENGINEERING", IF(F262="💳 CREDIT", "AUDIT CREDIT ALLOCATION", "APPROVED USAGE"))</f>
        <v/>
      </c>
    </row>
    <row r="263">
      <c r="A263" s="13">
        <f>'Master Cleaned Data Pipeline'!A258</f>
        <v/>
      </c>
      <c r="B263" s="13">
        <f>'Master Cleaned Data Pipeline'!B258</f>
        <v/>
      </c>
      <c r="C263" s="14">
        <f>'Master Cleaned Data Pipeline'!I258</f>
        <v/>
      </c>
      <c r="D263" s="14">
        <f>'Master Cleaned Data Pipeline'!F258</f>
        <v/>
      </c>
      <c r="E263" s="15">
        <f>'Master Cleaned Data Pipeline'!G258</f>
        <v/>
      </c>
      <c r="F263" s="13">
        <f>IF(E263&gt;'Stats &amp; 3-Sigma Control Bounds'!$C$21, "🚨 ANOMALY SPIKE", IF(E263&lt;0, "💳 CREDIT", "NORMAL"))</f>
        <v/>
      </c>
      <c r="G263" s="16">
        <f>(E263-'Stats &amp; 3-Sigma Control Bounds'!$C$6)/'Stats &amp; 3-Sigma Control Bounds'!$C$9</f>
        <v/>
      </c>
      <c r="H263" s="14">
        <f>IF(F263="🚨 ANOMALY SPIKE", "IMMEDIATE ESCALATION TO ENGINEERING", IF(F263="💳 CREDIT", "AUDIT CREDIT ALLOCATION", "APPROVED USAGE"))</f>
        <v/>
      </c>
    </row>
    <row r="264">
      <c r="A264" s="13">
        <f>'Master Cleaned Data Pipeline'!A259</f>
        <v/>
      </c>
      <c r="B264" s="13">
        <f>'Master Cleaned Data Pipeline'!B259</f>
        <v/>
      </c>
      <c r="C264" s="14">
        <f>'Master Cleaned Data Pipeline'!I259</f>
        <v/>
      </c>
      <c r="D264" s="14">
        <f>'Master Cleaned Data Pipeline'!F259</f>
        <v/>
      </c>
      <c r="E264" s="15">
        <f>'Master Cleaned Data Pipeline'!G259</f>
        <v/>
      </c>
      <c r="F264" s="13">
        <f>IF(E264&gt;'Stats &amp; 3-Sigma Control Bounds'!$C$21, "🚨 ANOMALY SPIKE", IF(E264&lt;0, "💳 CREDIT", "NORMAL"))</f>
        <v/>
      </c>
      <c r="G264" s="16">
        <f>(E264-'Stats &amp; 3-Sigma Control Bounds'!$C$6)/'Stats &amp; 3-Sigma Control Bounds'!$C$9</f>
        <v/>
      </c>
      <c r="H264" s="14">
        <f>IF(F264="🚨 ANOMALY SPIKE", "IMMEDIATE ESCALATION TO ENGINEERING", IF(F264="💳 CREDIT", "AUDIT CREDIT ALLOCATION", "APPROVED USAGE"))</f>
        <v/>
      </c>
    </row>
    <row r="265">
      <c r="A265" s="13">
        <f>'Master Cleaned Data Pipeline'!A260</f>
        <v/>
      </c>
      <c r="B265" s="13">
        <f>'Master Cleaned Data Pipeline'!B260</f>
        <v/>
      </c>
      <c r="C265" s="14">
        <f>'Master Cleaned Data Pipeline'!I260</f>
        <v/>
      </c>
      <c r="D265" s="14">
        <f>'Master Cleaned Data Pipeline'!F260</f>
        <v/>
      </c>
      <c r="E265" s="15">
        <f>'Master Cleaned Data Pipeline'!G260</f>
        <v/>
      </c>
      <c r="F265" s="13">
        <f>IF(E265&gt;'Stats &amp; 3-Sigma Control Bounds'!$C$21, "🚨 ANOMALY SPIKE", IF(E265&lt;0, "💳 CREDIT", "NORMAL"))</f>
        <v/>
      </c>
      <c r="G265" s="16">
        <f>(E265-'Stats &amp; 3-Sigma Control Bounds'!$C$6)/'Stats &amp; 3-Sigma Control Bounds'!$C$9</f>
        <v/>
      </c>
      <c r="H265" s="14">
        <f>IF(F265="🚨 ANOMALY SPIKE", "IMMEDIATE ESCALATION TO ENGINEERING", IF(F265="💳 CREDIT", "AUDIT CREDIT ALLOCATION", "APPROVED USAGE"))</f>
        <v/>
      </c>
    </row>
    <row r="266">
      <c r="A266" s="13">
        <f>'Master Cleaned Data Pipeline'!A261</f>
        <v/>
      </c>
      <c r="B266" s="13">
        <f>'Master Cleaned Data Pipeline'!B261</f>
        <v/>
      </c>
      <c r="C266" s="14">
        <f>'Master Cleaned Data Pipeline'!I261</f>
        <v/>
      </c>
      <c r="D266" s="14">
        <f>'Master Cleaned Data Pipeline'!F261</f>
        <v/>
      </c>
      <c r="E266" s="15">
        <f>'Master Cleaned Data Pipeline'!G261</f>
        <v/>
      </c>
      <c r="F266" s="13">
        <f>IF(E266&gt;'Stats &amp; 3-Sigma Control Bounds'!$C$21, "🚨 ANOMALY SPIKE", IF(E266&lt;0, "💳 CREDIT", "NORMAL"))</f>
        <v/>
      </c>
      <c r="G266" s="16">
        <f>(E266-'Stats &amp; 3-Sigma Control Bounds'!$C$6)/'Stats &amp; 3-Sigma Control Bounds'!$C$9</f>
        <v/>
      </c>
      <c r="H266" s="14">
        <f>IF(F266="🚨 ANOMALY SPIKE", "IMMEDIATE ESCALATION TO ENGINEERING", IF(F266="💳 CREDIT", "AUDIT CREDIT ALLOCATION", "APPROVED USAGE"))</f>
        <v/>
      </c>
    </row>
    <row r="267">
      <c r="A267" s="13">
        <f>'Master Cleaned Data Pipeline'!A262</f>
        <v/>
      </c>
      <c r="B267" s="13">
        <f>'Master Cleaned Data Pipeline'!B262</f>
        <v/>
      </c>
      <c r="C267" s="14">
        <f>'Master Cleaned Data Pipeline'!I262</f>
        <v/>
      </c>
      <c r="D267" s="14">
        <f>'Master Cleaned Data Pipeline'!F262</f>
        <v/>
      </c>
      <c r="E267" s="15">
        <f>'Master Cleaned Data Pipeline'!G262</f>
        <v/>
      </c>
      <c r="F267" s="13">
        <f>IF(E267&gt;'Stats &amp; 3-Sigma Control Bounds'!$C$21, "🚨 ANOMALY SPIKE", IF(E267&lt;0, "💳 CREDIT", "NORMAL"))</f>
        <v/>
      </c>
      <c r="G267" s="16">
        <f>(E267-'Stats &amp; 3-Sigma Control Bounds'!$C$6)/'Stats &amp; 3-Sigma Control Bounds'!$C$9</f>
        <v/>
      </c>
      <c r="H267" s="14">
        <f>IF(F267="🚨 ANOMALY SPIKE", "IMMEDIATE ESCALATION TO ENGINEERING", IF(F267="💳 CREDIT", "AUDIT CREDIT ALLOCATION", "APPROVED USAGE"))</f>
        <v/>
      </c>
    </row>
    <row r="268">
      <c r="A268" s="13">
        <f>'Master Cleaned Data Pipeline'!A263</f>
        <v/>
      </c>
      <c r="B268" s="13">
        <f>'Master Cleaned Data Pipeline'!B263</f>
        <v/>
      </c>
      <c r="C268" s="14">
        <f>'Master Cleaned Data Pipeline'!I263</f>
        <v/>
      </c>
      <c r="D268" s="14">
        <f>'Master Cleaned Data Pipeline'!F263</f>
        <v/>
      </c>
      <c r="E268" s="15">
        <f>'Master Cleaned Data Pipeline'!G263</f>
        <v/>
      </c>
      <c r="F268" s="13">
        <f>IF(E268&gt;'Stats &amp; 3-Sigma Control Bounds'!$C$21, "🚨 ANOMALY SPIKE", IF(E268&lt;0, "💳 CREDIT", "NORMAL"))</f>
        <v/>
      </c>
      <c r="G268" s="16">
        <f>(E268-'Stats &amp; 3-Sigma Control Bounds'!$C$6)/'Stats &amp; 3-Sigma Control Bounds'!$C$9</f>
        <v/>
      </c>
      <c r="H268" s="14">
        <f>IF(F268="🚨 ANOMALY SPIKE", "IMMEDIATE ESCALATION TO ENGINEERING", IF(F268="💳 CREDIT", "AUDIT CREDIT ALLOCATION", "APPROVED USAGE"))</f>
        <v/>
      </c>
    </row>
    <row r="269">
      <c r="A269" s="13">
        <f>'Master Cleaned Data Pipeline'!A264</f>
        <v/>
      </c>
      <c r="B269" s="13">
        <f>'Master Cleaned Data Pipeline'!B264</f>
        <v/>
      </c>
      <c r="C269" s="14">
        <f>'Master Cleaned Data Pipeline'!I264</f>
        <v/>
      </c>
      <c r="D269" s="14">
        <f>'Master Cleaned Data Pipeline'!F264</f>
        <v/>
      </c>
      <c r="E269" s="15">
        <f>'Master Cleaned Data Pipeline'!G264</f>
        <v/>
      </c>
      <c r="F269" s="13">
        <f>IF(E269&gt;'Stats &amp; 3-Sigma Control Bounds'!$C$21, "🚨 ANOMALY SPIKE", IF(E269&lt;0, "💳 CREDIT", "NORMAL"))</f>
        <v/>
      </c>
      <c r="G269" s="16">
        <f>(E269-'Stats &amp; 3-Sigma Control Bounds'!$C$6)/'Stats &amp; 3-Sigma Control Bounds'!$C$9</f>
        <v/>
      </c>
      <c r="H269" s="14">
        <f>IF(F269="🚨 ANOMALY SPIKE", "IMMEDIATE ESCALATION TO ENGINEERING", IF(F269="💳 CREDIT", "AUDIT CREDIT ALLOCATION", "APPROVED USAGE"))</f>
        <v/>
      </c>
    </row>
    <row r="270">
      <c r="A270" s="13">
        <f>'Master Cleaned Data Pipeline'!A265</f>
        <v/>
      </c>
      <c r="B270" s="13">
        <f>'Master Cleaned Data Pipeline'!B265</f>
        <v/>
      </c>
      <c r="C270" s="14">
        <f>'Master Cleaned Data Pipeline'!I265</f>
        <v/>
      </c>
      <c r="D270" s="14">
        <f>'Master Cleaned Data Pipeline'!F265</f>
        <v/>
      </c>
      <c r="E270" s="15">
        <f>'Master Cleaned Data Pipeline'!G265</f>
        <v/>
      </c>
      <c r="F270" s="13">
        <f>IF(E270&gt;'Stats &amp; 3-Sigma Control Bounds'!$C$21, "🚨 ANOMALY SPIKE", IF(E270&lt;0, "💳 CREDIT", "NORMAL"))</f>
        <v/>
      </c>
      <c r="G270" s="16">
        <f>(E270-'Stats &amp; 3-Sigma Control Bounds'!$C$6)/'Stats &amp; 3-Sigma Control Bounds'!$C$9</f>
        <v/>
      </c>
      <c r="H270" s="14">
        <f>IF(F270="🚨 ANOMALY SPIKE", "IMMEDIATE ESCALATION TO ENGINEERING", IF(F270="💳 CREDIT", "AUDIT CREDIT ALLOCATION", "APPROVED USAGE"))</f>
        <v/>
      </c>
    </row>
    <row r="271">
      <c r="A271" s="13">
        <f>'Master Cleaned Data Pipeline'!A266</f>
        <v/>
      </c>
      <c r="B271" s="13">
        <f>'Master Cleaned Data Pipeline'!B266</f>
        <v/>
      </c>
      <c r="C271" s="14">
        <f>'Master Cleaned Data Pipeline'!I266</f>
        <v/>
      </c>
      <c r="D271" s="14">
        <f>'Master Cleaned Data Pipeline'!F266</f>
        <v/>
      </c>
      <c r="E271" s="15">
        <f>'Master Cleaned Data Pipeline'!G266</f>
        <v/>
      </c>
      <c r="F271" s="13">
        <f>IF(E271&gt;'Stats &amp; 3-Sigma Control Bounds'!$C$21, "🚨 ANOMALY SPIKE", IF(E271&lt;0, "💳 CREDIT", "NORMAL"))</f>
        <v/>
      </c>
      <c r="G271" s="16">
        <f>(E271-'Stats &amp; 3-Sigma Control Bounds'!$C$6)/'Stats &amp; 3-Sigma Control Bounds'!$C$9</f>
        <v/>
      </c>
      <c r="H271" s="14">
        <f>IF(F271="🚨 ANOMALY SPIKE", "IMMEDIATE ESCALATION TO ENGINEERING", IF(F271="💳 CREDIT", "AUDIT CREDIT ALLOCATION", "APPROVED USAGE"))</f>
        <v/>
      </c>
    </row>
    <row r="272">
      <c r="A272" s="13">
        <f>'Master Cleaned Data Pipeline'!A267</f>
        <v/>
      </c>
      <c r="B272" s="13">
        <f>'Master Cleaned Data Pipeline'!B267</f>
        <v/>
      </c>
      <c r="C272" s="14">
        <f>'Master Cleaned Data Pipeline'!I267</f>
        <v/>
      </c>
      <c r="D272" s="14">
        <f>'Master Cleaned Data Pipeline'!F267</f>
        <v/>
      </c>
      <c r="E272" s="15">
        <f>'Master Cleaned Data Pipeline'!G267</f>
        <v/>
      </c>
      <c r="F272" s="13">
        <f>IF(E272&gt;'Stats &amp; 3-Sigma Control Bounds'!$C$21, "🚨 ANOMALY SPIKE", IF(E272&lt;0, "💳 CREDIT", "NORMAL"))</f>
        <v/>
      </c>
      <c r="G272" s="16">
        <f>(E272-'Stats &amp; 3-Sigma Control Bounds'!$C$6)/'Stats &amp; 3-Sigma Control Bounds'!$C$9</f>
        <v/>
      </c>
      <c r="H272" s="14">
        <f>IF(F272="🚨 ANOMALY SPIKE", "IMMEDIATE ESCALATION TO ENGINEERING", IF(F272="💳 CREDIT", "AUDIT CREDIT ALLOCATION", "APPROVED USAGE"))</f>
        <v/>
      </c>
    </row>
    <row r="273">
      <c r="A273" s="13">
        <f>'Master Cleaned Data Pipeline'!A268</f>
        <v/>
      </c>
      <c r="B273" s="13">
        <f>'Master Cleaned Data Pipeline'!B268</f>
        <v/>
      </c>
      <c r="C273" s="14">
        <f>'Master Cleaned Data Pipeline'!I268</f>
        <v/>
      </c>
      <c r="D273" s="14">
        <f>'Master Cleaned Data Pipeline'!F268</f>
        <v/>
      </c>
      <c r="E273" s="15">
        <f>'Master Cleaned Data Pipeline'!G268</f>
        <v/>
      </c>
      <c r="F273" s="13">
        <f>IF(E273&gt;'Stats &amp; 3-Sigma Control Bounds'!$C$21, "🚨 ANOMALY SPIKE", IF(E273&lt;0, "💳 CREDIT", "NORMAL"))</f>
        <v/>
      </c>
      <c r="G273" s="16">
        <f>(E273-'Stats &amp; 3-Sigma Control Bounds'!$C$6)/'Stats &amp; 3-Sigma Control Bounds'!$C$9</f>
        <v/>
      </c>
      <c r="H273" s="14">
        <f>IF(F273="🚨 ANOMALY SPIKE", "IMMEDIATE ESCALATION TO ENGINEERING", IF(F273="💳 CREDIT", "AUDIT CREDIT ALLOCATION", "APPROVED USAGE"))</f>
        <v/>
      </c>
    </row>
    <row r="274">
      <c r="A274" s="13">
        <f>'Master Cleaned Data Pipeline'!A269</f>
        <v/>
      </c>
      <c r="B274" s="13">
        <f>'Master Cleaned Data Pipeline'!B269</f>
        <v/>
      </c>
      <c r="C274" s="14">
        <f>'Master Cleaned Data Pipeline'!I269</f>
        <v/>
      </c>
      <c r="D274" s="14">
        <f>'Master Cleaned Data Pipeline'!F269</f>
        <v/>
      </c>
      <c r="E274" s="15">
        <f>'Master Cleaned Data Pipeline'!G269</f>
        <v/>
      </c>
      <c r="F274" s="13">
        <f>IF(E274&gt;'Stats &amp; 3-Sigma Control Bounds'!$C$21, "🚨 ANOMALY SPIKE", IF(E274&lt;0, "💳 CREDIT", "NORMAL"))</f>
        <v/>
      </c>
      <c r="G274" s="16">
        <f>(E274-'Stats &amp; 3-Sigma Control Bounds'!$C$6)/'Stats &amp; 3-Sigma Control Bounds'!$C$9</f>
        <v/>
      </c>
      <c r="H274" s="14">
        <f>IF(F274="🚨 ANOMALY SPIKE", "IMMEDIATE ESCALATION TO ENGINEERING", IF(F274="💳 CREDIT", "AUDIT CREDIT ALLOCATION", "APPROVED USAGE"))</f>
        <v/>
      </c>
    </row>
    <row r="275">
      <c r="A275" s="13">
        <f>'Master Cleaned Data Pipeline'!A270</f>
        <v/>
      </c>
      <c r="B275" s="13">
        <f>'Master Cleaned Data Pipeline'!B270</f>
        <v/>
      </c>
      <c r="C275" s="14">
        <f>'Master Cleaned Data Pipeline'!I270</f>
        <v/>
      </c>
      <c r="D275" s="14">
        <f>'Master Cleaned Data Pipeline'!F270</f>
        <v/>
      </c>
      <c r="E275" s="15">
        <f>'Master Cleaned Data Pipeline'!G270</f>
        <v/>
      </c>
      <c r="F275" s="13">
        <f>IF(E275&gt;'Stats &amp; 3-Sigma Control Bounds'!$C$21, "🚨 ANOMALY SPIKE", IF(E275&lt;0, "💳 CREDIT", "NORMAL"))</f>
        <v/>
      </c>
      <c r="G275" s="16">
        <f>(E275-'Stats &amp; 3-Sigma Control Bounds'!$C$6)/'Stats &amp; 3-Sigma Control Bounds'!$C$9</f>
        <v/>
      </c>
      <c r="H275" s="14">
        <f>IF(F275="🚨 ANOMALY SPIKE", "IMMEDIATE ESCALATION TO ENGINEERING", IF(F275="💳 CREDIT", "AUDIT CREDIT ALLOCATION", "APPROVED USAGE"))</f>
        <v/>
      </c>
    </row>
    <row r="276">
      <c r="A276" s="13">
        <f>'Master Cleaned Data Pipeline'!A271</f>
        <v/>
      </c>
      <c r="B276" s="13">
        <f>'Master Cleaned Data Pipeline'!B271</f>
        <v/>
      </c>
      <c r="C276" s="14">
        <f>'Master Cleaned Data Pipeline'!I271</f>
        <v/>
      </c>
      <c r="D276" s="14">
        <f>'Master Cleaned Data Pipeline'!F271</f>
        <v/>
      </c>
      <c r="E276" s="15">
        <f>'Master Cleaned Data Pipeline'!G271</f>
        <v/>
      </c>
      <c r="F276" s="13">
        <f>IF(E276&gt;'Stats &amp; 3-Sigma Control Bounds'!$C$21, "🚨 ANOMALY SPIKE", IF(E276&lt;0, "💳 CREDIT", "NORMAL"))</f>
        <v/>
      </c>
      <c r="G276" s="16">
        <f>(E276-'Stats &amp; 3-Sigma Control Bounds'!$C$6)/'Stats &amp; 3-Sigma Control Bounds'!$C$9</f>
        <v/>
      </c>
      <c r="H276" s="14">
        <f>IF(F276="🚨 ANOMALY SPIKE", "IMMEDIATE ESCALATION TO ENGINEERING", IF(F276="💳 CREDIT", "AUDIT CREDIT ALLOCATION", "APPROVED USAGE"))</f>
        <v/>
      </c>
    </row>
    <row r="277">
      <c r="A277" s="13">
        <f>'Master Cleaned Data Pipeline'!A272</f>
        <v/>
      </c>
      <c r="B277" s="13">
        <f>'Master Cleaned Data Pipeline'!B272</f>
        <v/>
      </c>
      <c r="C277" s="14">
        <f>'Master Cleaned Data Pipeline'!I272</f>
        <v/>
      </c>
      <c r="D277" s="14">
        <f>'Master Cleaned Data Pipeline'!F272</f>
        <v/>
      </c>
      <c r="E277" s="15">
        <f>'Master Cleaned Data Pipeline'!G272</f>
        <v/>
      </c>
      <c r="F277" s="13">
        <f>IF(E277&gt;'Stats &amp; 3-Sigma Control Bounds'!$C$21, "🚨 ANOMALY SPIKE", IF(E277&lt;0, "💳 CREDIT", "NORMAL"))</f>
        <v/>
      </c>
      <c r="G277" s="16">
        <f>(E277-'Stats &amp; 3-Sigma Control Bounds'!$C$6)/'Stats &amp; 3-Sigma Control Bounds'!$C$9</f>
        <v/>
      </c>
      <c r="H277" s="14">
        <f>IF(F277="🚨 ANOMALY SPIKE", "IMMEDIATE ESCALATION TO ENGINEERING", IF(F277="💳 CREDIT", "AUDIT CREDIT ALLOCATION", "APPROVED USAGE"))</f>
        <v/>
      </c>
    </row>
    <row r="278">
      <c r="A278" s="13">
        <f>'Master Cleaned Data Pipeline'!A273</f>
        <v/>
      </c>
      <c r="B278" s="13">
        <f>'Master Cleaned Data Pipeline'!B273</f>
        <v/>
      </c>
      <c r="C278" s="14">
        <f>'Master Cleaned Data Pipeline'!I273</f>
        <v/>
      </c>
      <c r="D278" s="14">
        <f>'Master Cleaned Data Pipeline'!F273</f>
        <v/>
      </c>
      <c r="E278" s="15">
        <f>'Master Cleaned Data Pipeline'!G273</f>
        <v/>
      </c>
      <c r="F278" s="13">
        <f>IF(E278&gt;'Stats &amp; 3-Sigma Control Bounds'!$C$21, "🚨 ANOMALY SPIKE", IF(E278&lt;0, "💳 CREDIT", "NORMAL"))</f>
        <v/>
      </c>
      <c r="G278" s="16">
        <f>(E278-'Stats &amp; 3-Sigma Control Bounds'!$C$6)/'Stats &amp; 3-Sigma Control Bounds'!$C$9</f>
        <v/>
      </c>
      <c r="H278" s="14">
        <f>IF(F278="🚨 ANOMALY SPIKE", "IMMEDIATE ESCALATION TO ENGINEERING", IF(F278="💳 CREDIT", "AUDIT CREDIT ALLOCATION", "APPROVED USAGE"))</f>
        <v/>
      </c>
    </row>
    <row r="279">
      <c r="A279" s="13">
        <f>'Master Cleaned Data Pipeline'!A274</f>
        <v/>
      </c>
      <c r="B279" s="13">
        <f>'Master Cleaned Data Pipeline'!B274</f>
        <v/>
      </c>
      <c r="C279" s="14">
        <f>'Master Cleaned Data Pipeline'!I274</f>
        <v/>
      </c>
      <c r="D279" s="14">
        <f>'Master Cleaned Data Pipeline'!F274</f>
        <v/>
      </c>
      <c r="E279" s="15">
        <f>'Master Cleaned Data Pipeline'!G274</f>
        <v/>
      </c>
      <c r="F279" s="13">
        <f>IF(E279&gt;'Stats &amp; 3-Sigma Control Bounds'!$C$21, "🚨 ANOMALY SPIKE", IF(E279&lt;0, "💳 CREDIT", "NORMAL"))</f>
        <v/>
      </c>
      <c r="G279" s="16">
        <f>(E279-'Stats &amp; 3-Sigma Control Bounds'!$C$6)/'Stats &amp; 3-Sigma Control Bounds'!$C$9</f>
        <v/>
      </c>
      <c r="H279" s="14">
        <f>IF(F279="🚨 ANOMALY SPIKE", "IMMEDIATE ESCALATION TO ENGINEERING", IF(F279="💳 CREDIT", "AUDIT CREDIT ALLOCATION", "APPROVED USAGE"))</f>
        <v/>
      </c>
    </row>
    <row r="280">
      <c r="A280" s="13">
        <f>'Master Cleaned Data Pipeline'!A275</f>
        <v/>
      </c>
      <c r="B280" s="13">
        <f>'Master Cleaned Data Pipeline'!B275</f>
        <v/>
      </c>
      <c r="C280" s="14">
        <f>'Master Cleaned Data Pipeline'!I275</f>
        <v/>
      </c>
      <c r="D280" s="14">
        <f>'Master Cleaned Data Pipeline'!F275</f>
        <v/>
      </c>
      <c r="E280" s="15">
        <f>'Master Cleaned Data Pipeline'!G275</f>
        <v/>
      </c>
      <c r="F280" s="13">
        <f>IF(E280&gt;'Stats &amp; 3-Sigma Control Bounds'!$C$21, "🚨 ANOMALY SPIKE", IF(E280&lt;0, "💳 CREDIT", "NORMAL"))</f>
        <v/>
      </c>
      <c r="G280" s="16">
        <f>(E280-'Stats &amp; 3-Sigma Control Bounds'!$C$6)/'Stats &amp; 3-Sigma Control Bounds'!$C$9</f>
        <v/>
      </c>
      <c r="H280" s="14">
        <f>IF(F280="🚨 ANOMALY SPIKE", "IMMEDIATE ESCALATION TO ENGINEERING", IF(F280="💳 CREDIT", "AUDIT CREDIT ALLOCATION", "APPROVED USAGE"))</f>
        <v/>
      </c>
    </row>
    <row r="281">
      <c r="A281" s="13">
        <f>'Master Cleaned Data Pipeline'!A276</f>
        <v/>
      </c>
      <c r="B281" s="13">
        <f>'Master Cleaned Data Pipeline'!B276</f>
        <v/>
      </c>
      <c r="C281" s="14">
        <f>'Master Cleaned Data Pipeline'!I276</f>
        <v/>
      </c>
      <c r="D281" s="14">
        <f>'Master Cleaned Data Pipeline'!F276</f>
        <v/>
      </c>
      <c r="E281" s="15">
        <f>'Master Cleaned Data Pipeline'!G276</f>
        <v/>
      </c>
      <c r="F281" s="13">
        <f>IF(E281&gt;'Stats &amp; 3-Sigma Control Bounds'!$C$21, "🚨 ANOMALY SPIKE", IF(E281&lt;0, "💳 CREDIT", "NORMAL"))</f>
        <v/>
      </c>
      <c r="G281" s="16">
        <f>(E281-'Stats &amp; 3-Sigma Control Bounds'!$C$6)/'Stats &amp; 3-Sigma Control Bounds'!$C$9</f>
        <v/>
      </c>
      <c r="H281" s="14">
        <f>IF(F281="🚨 ANOMALY SPIKE", "IMMEDIATE ESCALATION TO ENGINEERING", IF(F281="💳 CREDIT", "AUDIT CREDIT ALLOCATION", "APPROVED USAGE"))</f>
        <v/>
      </c>
    </row>
    <row r="282">
      <c r="A282" s="13">
        <f>'Master Cleaned Data Pipeline'!A277</f>
        <v/>
      </c>
      <c r="B282" s="13">
        <f>'Master Cleaned Data Pipeline'!B277</f>
        <v/>
      </c>
      <c r="C282" s="14">
        <f>'Master Cleaned Data Pipeline'!I277</f>
        <v/>
      </c>
      <c r="D282" s="14">
        <f>'Master Cleaned Data Pipeline'!F277</f>
        <v/>
      </c>
      <c r="E282" s="15">
        <f>'Master Cleaned Data Pipeline'!G277</f>
        <v/>
      </c>
      <c r="F282" s="13">
        <f>IF(E282&gt;'Stats &amp; 3-Sigma Control Bounds'!$C$21, "🚨 ANOMALY SPIKE", IF(E282&lt;0, "💳 CREDIT", "NORMAL"))</f>
        <v/>
      </c>
      <c r="G282" s="16">
        <f>(E282-'Stats &amp; 3-Sigma Control Bounds'!$C$6)/'Stats &amp; 3-Sigma Control Bounds'!$C$9</f>
        <v/>
      </c>
      <c r="H282" s="14">
        <f>IF(F282="🚨 ANOMALY SPIKE", "IMMEDIATE ESCALATION TO ENGINEERING", IF(F282="💳 CREDIT", "AUDIT CREDIT ALLOCATION", "APPROVED USAGE"))</f>
        <v/>
      </c>
    </row>
    <row r="283">
      <c r="A283" s="13">
        <f>'Master Cleaned Data Pipeline'!A278</f>
        <v/>
      </c>
      <c r="B283" s="13">
        <f>'Master Cleaned Data Pipeline'!B278</f>
        <v/>
      </c>
      <c r="C283" s="14">
        <f>'Master Cleaned Data Pipeline'!I278</f>
        <v/>
      </c>
      <c r="D283" s="14">
        <f>'Master Cleaned Data Pipeline'!F278</f>
        <v/>
      </c>
      <c r="E283" s="15">
        <f>'Master Cleaned Data Pipeline'!G278</f>
        <v/>
      </c>
      <c r="F283" s="13">
        <f>IF(E283&gt;'Stats &amp; 3-Sigma Control Bounds'!$C$21, "🚨 ANOMALY SPIKE", IF(E283&lt;0, "💳 CREDIT", "NORMAL"))</f>
        <v/>
      </c>
      <c r="G283" s="16">
        <f>(E283-'Stats &amp; 3-Sigma Control Bounds'!$C$6)/'Stats &amp; 3-Sigma Control Bounds'!$C$9</f>
        <v/>
      </c>
      <c r="H283" s="14">
        <f>IF(F283="🚨 ANOMALY SPIKE", "IMMEDIATE ESCALATION TO ENGINEERING", IF(F283="💳 CREDIT", "AUDIT CREDIT ALLOCATION", "APPROVED USAGE"))</f>
        <v/>
      </c>
    </row>
    <row r="284">
      <c r="A284" s="13">
        <f>'Master Cleaned Data Pipeline'!A279</f>
        <v/>
      </c>
      <c r="B284" s="13">
        <f>'Master Cleaned Data Pipeline'!B279</f>
        <v/>
      </c>
      <c r="C284" s="14">
        <f>'Master Cleaned Data Pipeline'!I279</f>
        <v/>
      </c>
      <c r="D284" s="14">
        <f>'Master Cleaned Data Pipeline'!F279</f>
        <v/>
      </c>
      <c r="E284" s="15">
        <f>'Master Cleaned Data Pipeline'!G279</f>
        <v/>
      </c>
      <c r="F284" s="13">
        <f>IF(E284&gt;'Stats &amp; 3-Sigma Control Bounds'!$C$21, "🚨 ANOMALY SPIKE", IF(E284&lt;0, "💳 CREDIT", "NORMAL"))</f>
        <v/>
      </c>
      <c r="G284" s="16">
        <f>(E284-'Stats &amp; 3-Sigma Control Bounds'!$C$6)/'Stats &amp; 3-Sigma Control Bounds'!$C$9</f>
        <v/>
      </c>
      <c r="H284" s="14">
        <f>IF(F284="🚨 ANOMALY SPIKE", "IMMEDIATE ESCALATION TO ENGINEERING", IF(F284="💳 CREDIT", "AUDIT CREDIT ALLOCATION", "APPROVED USAGE"))</f>
        <v/>
      </c>
    </row>
    <row r="285">
      <c r="A285" s="13">
        <f>'Master Cleaned Data Pipeline'!A280</f>
        <v/>
      </c>
      <c r="B285" s="13">
        <f>'Master Cleaned Data Pipeline'!B280</f>
        <v/>
      </c>
      <c r="C285" s="14">
        <f>'Master Cleaned Data Pipeline'!I280</f>
        <v/>
      </c>
      <c r="D285" s="14">
        <f>'Master Cleaned Data Pipeline'!F280</f>
        <v/>
      </c>
      <c r="E285" s="15">
        <f>'Master Cleaned Data Pipeline'!G280</f>
        <v/>
      </c>
      <c r="F285" s="13">
        <f>IF(E285&gt;'Stats &amp; 3-Sigma Control Bounds'!$C$21, "🚨 ANOMALY SPIKE", IF(E285&lt;0, "💳 CREDIT", "NORMAL"))</f>
        <v/>
      </c>
      <c r="G285" s="16">
        <f>(E285-'Stats &amp; 3-Sigma Control Bounds'!$C$6)/'Stats &amp; 3-Sigma Control Bounds'!$C$9</f>
        <v/>
      </c>
      <c r="H285" s="14">
        <f>IF(F285="🚨 ANOMALY SPIKE", "IMMEDIATE ESCALATION TO ENGINEERING", IF(F285="💳 CREDIT", "AUDIT CREDIT ALLOCATION", "APPROVED USAGE"))</f>
        <v/>
      </c>
    </row>
    <row r="286">
      <c r="A286" s="13">
        <f>'Master Cleaned Data Pipeline'!A281</f>
        <v/>
      </c>
      <c r="B286" s="13">
        <f>'Master Cleaned Data Pipeline'!B281</f>
        <v/>
      </c>
      <c r="C286" s="14">
        <f>'Master Cleaned Data Pipeline'!I281</f>
        <v/>
      </c>
      <c r="D286" s="14">
        <f>'Master Cleaned Data Pipeline'!F281</f>
        <v/>
      </c>
      <c r="E286" s="15">
        <f>'Master Cleaned Data Pipeline'!G281</f>
        <v/>
      </c>
      <c r="F286" s="13">
        <f>IF(E286&gt;'Stats &amp; 3-Sigma Control Bounds'!$C$21, "🚨 ANOMALY SPIKE", IF(E286&lt;0, "💳 CREDIT", "NORMAL"))</f>
        <v/>
      </c>
      <c r="G286" s="16">
        <f>(E286-'Stats &amp; 3-Sigma Control Bounds'!$C$6)/'Stats &amp; 3-Sigma Control Bounds'!$C$9</f>
        <v/>
      </c>
      <c r="H286" s="14">
        <f>IF(F286="🚨 ANOMALY SPIKE", "IMMEDIATE ESCALATION TO ENGINEERING", IF(F286="💳 CREDIT", "AUDIT CREDIT ALLOCATION", "APPROVED USAGE"))</f>
        <v/>
      </c>
    </row>
    <row r="287">
      <c r="A287" s="13">
        <f>'Master Cleaned Data Pipeline'!A282</f>
        <v/>
      </c>
      <c r="B287" s="13">
        <f>'Master Cleaned Data Pipeline'!B282</f>
        <v/>
      </c>
      <c r="C287" s="14">
        <f>'Master Cleaned Data Pipeline'!I282</f>
        <v/>
      </c>
      <c r="D287" s="14">
        <f>'Master Cleaned Data Pipeline'!F282</f>
        <v/>
      </c>
      <c r="E287" s="15">
        <f>'Master Cleaned Data Pipeline'!G282</f>
        <v/>
      </c>
      <c r="F287" s="13">
        <f>IF(E287&gt;'Stats &amp; 3-Sigma Control Bounds'!$C$21, "🚨 ANOMALY SPIKE", IF(E287&lt;0, "💳 CREDIT", "NORMAL"))</f>
        <v/>
      </c>
      <c r="G287" s="16">
        <f>(E287-'Stats &amp; 3-Sigma Control Bounds'!$C$6)/'Stats &amp; 3-Sigma Control Bounds'!$C$9</f>
        <v/>
      </c>
      <c r="H287" s="14">
        <f>IF(F287="🚨 ANOMALY SPIKE", "IMMEDIATE ESCALATION TO ENGINEERING", IF(F287="💳 CREDIT", "AUDIT CREDIT ALLOCATION", "APPROVED USAGE"))</f>
        <v/>
      </c>
    </row>
    <row r="288">
      <c r="A288" s="13">
        <f>'Master Cleaned Data Pipeline'!A283</f>
        <v/>
      </c>
      <c r="B288" s="13">
        <f>'Master Cleaned Data Pipeline'!B283</f>
        <v/>
      </c>
      <c r="C288" s="14">
        <f>'Master Cleaned Data Pipeline'!I283</f>
        <v/>
      </c>
      <c r="D288" s="14">
        <f>'Master Cleaned Data Pipeline'!F283</f>
        <v/>
      </c>
      <c r="E288" s="15">
        <f>'Master Cleaned Data Pipeline'!G283</f>
        <v/>
      </c>
      <c r="F288" s="13">
        <f>IF(E288&gt;'Stats &amp; 3-Sigma Control Bounds'!$C$21, "🚨 ANOMALY SPIKE", IF(E288&lt;0, "💳 CREDIT", "NORMAL"))</f>
        <v/>
      </c>
      <c r="G288" s="16">
        <f>(E288-'Stats &amp; 3-Sigma Control Bounds'!$C$6)/'Stats &amp; 3-Sigma Control Bounds'!$C$9</f>
        <v/>
      </c>
      <c r="H288" s="14">
        <f>IF(F288="🚨 ANOMALY SPIKE", "IMMEDIATE ESCALATION TO ENGINEERING", IF(F288="💳 CREDIT", "AUDIT CREDIT ALLOCATION", "APPROVED USAGE"))</f>
        <v/>
      </c>
    </row>
    <row r="289">
      <c r="A289" s="13">
        <f>'Master Cleaned Data Pipeline'!A284</f>
        <v/>
      </c>
      <c r="B289" s="13">
        <f>'Master Cleaned Data Pipeline'!B284</f>
        <v/>
      </c>
      <c r="C289" s="14">
        <f>'Master Cleaned Data Pipeline'!I284</f>
        <v/>
      </c>
      <c r="D289" s="14">
        <f>'Master Cleaned Data Pipeline'!F284</f>
        <v/>
      </c>
      <c r="E289" s="15">
        <f>'Master Cleaned Data Pipeline'!G284</f>
        <v/>
      </c>
      <c r="F289" s="13">
        <f>IF(E289&gt;'Stats &amp; 3-Sigma Control Bounds'!$C$21, "🚨 ANOMALY SPIKE", IF(E289&lt;0, "💳 CREDIT", "NORMAL"))</f>
        <v/>
      </c>
      <c r="G289" s="16">
        <f>(E289-'Stats &amp; 3-Sigma Control Bounds'!$C$6)/'Stats &amp; 3-Sigma Control Bounds'!$C$9</f>
        <v/>
      </c>
      <c r="H289" s="14">
        <f>IF(F289="🚨 ANOMALY SPIKE", "IMMEDIATE ESCALATION TO ENGINEERING", IF(F289="💳 CREDIT", "AUDIT CREDIT ALLOCATION", "APPROVED USAGE"))</f>
        <v/>
      </c>
    </row>
    <row r="290">
      <c r="A290" s="13">
        <f>'Master Cleaned Data Pipeline'!A285</f>
        <v/>
      </c>
      <c r="B290" s="13">
        <f>'Master Cleaned Data Pipeline'!B285</f>
        <v/>
      </c>
      <c r="C290" s="14">
        <f>'Master Cleaned Data Pipeline'!I285</f>
        <v/>
      </c>
      <c r="D290" s="14">
        <f>'Master Cleaned Data Pipeline'!F285</f>
        <v/>
      </c>
      <c r="E290" s="15">
        <f>'Master Cleaned Data Pipeline'!G285</f>
        <v/>
      </c>
      <c r="F290" s="13">
        <f>IF(E290&gt;'Stats &amp; 3-Sigma Control Bounds'!$C$21, "🚨 ANOMALY SPIKE", IF(E290&lt;0, "💳 CREDIT", "NORMAL"))</f>
        <v/>
      </c>
      <c r="G290" s="16">
        <f>(E290-'Stats &amp; 3-Sigma Control Bounds'!$C$6)/'Stats &amp; 3-Sigma Control Bounds'!$C$9</f>
        <v/>
      </c>
      <c r="H290" s="14">
        <f>IF(F290="🚨 ANOMALY SPIKE", "IMMEDIATE ESCALATION TO ENGINEERING", IF(F290="💳 CREDIT", "AUDIT CREDIT ALLOCATION", "APPROVED USAGE"))</f>
        <v/>
      </c>
    </row>
    <row r="291">
      <c r="A291" s="13">
        <f>'Master Cleaned Data Pipeline'!A286</f>
        <v/>
      </c>
      <c r="B291" s="13">
        <f>'Master Cleaned Data Pipeline'!B286</f>
        <v/>
      </c>
      <c r="C291" s="14">
        <f>'Master Cleaned Data Pipeline'!I286</f>
        <v/>
      </c>
      <c r="D291" s="14">
        <f>'Master Cleaned Data Pipeline'!F286</f>
        <v/>
      </c>
      <c r="E291" s="15">
        <f>'Master Cleaned Data Pipeline'!G286</f>
        <v/>
      </c>
      <c r="F291" s="13">
        <f>IF(E291&gt;'Stats &amp; 3-Sigma Control Bounds'!$C$21, "🚨 ANOMALY SPIKE", IF(E291&lt;0, "💳 CREDIT", "NORMAL"))</f>
        <v/>
      </c>
      <c r="G291" s="16">
        <f>(E291-'Stats &amp; 3-Sigma Control Bounds'!$C$6)/'Stats &amp; 3-Sigma Control Bounds'!$C$9</f>
        <v/>
      </c>
      <c r="H291" s="14">
        <f>IF(F291="🚨 ANOMALY SPIKE", "IMMEDIATE ESCALATION TO ENGINEERING", IF(F291="💳 CREDIT", "AUDIT CREDIT ALLOCATION", "APPROVED USAGE"))</f>
        <v/>
      </c>
    </row>
    <row r="292">
      <c r="A292" s="13">
        <f>'Master Cleaned Data Pipeline'!A287</f>
        <v/>
      </c>
      <c r="B292" s="13">
        <f>'Master Cleaned Data Pipeline'!B287</f>
        <v/>
      </c>
      <c r="C292" s="14">
        <f>'Master Cleaned Data Pipeline'!I287</f>
        <v/>
      </c>
      <c r="D292" s="14">
        <f>'Master Cleaned Data Pipeline'!F287</f>
        <v/>
      </c>
      <c r="E292" s="15">
        <f>'Master Cleaned Data Pipeline'!G287</f>
        <v/>
      </c>
      <c r="F292" s="13">
        <f>IF(E292&gt;'Stats &amp; 3-Sigma Control Bounds'!$C$21, "🚨 ANOMALY SPIKE", IF(E292&lt;0, "💳 CREDIT", "NORMAL"))</f>
        <v/>
      </c>
      <c r="G292" s="16">
        <f>(E292-'Stats &amp; 3-Sigma Control Bounds'!$C$6)/'Stats &amp; 3-Sigma Control Bounds'!$C$9</f>
        <v/>
      </c>
      <c r="H292" s="14">
        <f>IF(F292="🚨 ANOMALY SPIKE", "IMMEDIATE ESCALATION TO ENGINEERING", IF(F292="💳 CREDIT", "AUDIT CREDIT ALLOCATION", "APPROVED USAGE"))</f>
        <v/>
      </c>
    </row>
    <row r="293">
      <c r="A293" s="13">
        <f>'Master Cleaned Data Pipeline'!A288</f>
        <v/>
      </c>
      <c r="B293" s="13">
        <f>'Master Cleaned Data Pipeline'!B288</f>
        <v/>
      </c>
      <c r="C293" s="14">
        <f>'Master Cleaned Data Pipeline'!I288</f>
        <v/>
      </c>
      <c r="D293" s="14">
        <f>'Master Cleaned Data Pipeline'!F288</f>
        <v/>
      </c>
      <c r="E293" s="15">
        <f>'Master Cleaned Data Pipeline'!G288</f>
        <v/>
      </c>
      <c r="F293" s="13">
        <f>IF(E293&gt;'Stats &amp; 3-Sigma Control Bounds'!$C$21, "🚨 ANOMALY SPIKE", IF(E293&lt;0, "💳 CREDIT", "NORMAL"))</f>
        <v/>
      </c>
      <c r="G293" s="16">
        <f>(E293-'Stats &amp; 3-Sigma Control Bounds'!$C$6)/'Stats &amp; 3-Sigma Control Bounds'!$C$9</f>
        <v/>
      </c>
      <c r="H293" s="14">
        <f>IF(F293="🚨 ANOMALY SPIKE", "IMMEDIATE ESCALATION TO ENGINEERING", IF(F293="💳 CREDIT", "AUDIT CREDIT ALLOCATION", "APPROVED USAGE"))</f>
        <v/>
      </c>
    </row>
    <row r="294">
      <c r="A294" s="13">
        <f>'Master Cleaned Data Pipeline'!A289</f>
        <v/>
      </c>
      <c r="B294" s="13">
        <f>'Master Cleaned Data Pipeline'!B289</f>
        <v/>
      </c>
      <c r="C294" s="14">
        <f>'Master Cleaned Data Pipeline'!I289</f>
        <v/>
      </c>
      <c r="D294" s="14">
        <f>'Master Cleaned Data Pipeline'!F289</f>
        <v/>
      </c>
      <c r="E294" s="15">
        <f>'Master Cleaned Data Pipeline'!G289</f>
        <v/>
      </c>
      <c r="F294" s="13">
        <f>IF(E294&gt;'Stats &amp; 3-Sigma Control Bounds'!$C$21, "🚨 ANOMALY SPIKE", IF(E294&lt;0, "💳 CREDIT", "NORMAL"))</f>
        <v/>
      </c>
      <c r="G294" s="16">
        <f>(E294-'Stats &amp; 3-Sigma Control Bounds'!$C$6)/'Stats &amp; 3-Sigma Control Bounds'!$C$9</f>
        <v/>
      </c>
      <c r="H294" s="14">
        <f>IF(F294="🚨 ANOMALY SPIKE", "IMMEDIATE ESCALATION TO ENGINEERING", IF(F294="💳 CREDIT", "AUDIT CREDIT ALLOCATION", "APPROVED USAGE"))</f>
        <v/>
      </c>
    </row>
    <row r="295">
      <c r="A295" s="13">
        <f>'Master Cleaned Data Pipeline'!A290</f>
        <v/>
      </c>
      <c r="B295" s="13">
        <f>'Master Cleaned Data Pipeline'!B290</f>
        <v/>
      </c>
      <c r="C295" s="14">
        <f>'Master Cleaned Data Pipeline'!I290</f>
        <v/>
      </c>
      <c r="D295" s="14">
        <f>'Master Cleaned Data Pipeline'!F290</f>
        <v/>
      </c>
      <c r="E295" s="15">
        <f>'Master Cleaned Data Pipeline'!G290</f>
        <v/>
      </c>
      <c r="F295" s="13">
        <f>IF(E295&gt;'Stats &amp; 3-Sigma Control Bounds'!$C$21, "🚨 ANOMALY SPIKE", IF(E295&lt;0, "💳 CREDIT", "NORMAL"))</f>
        <v/>
      </c>
      <c r="G295" s="16">
        <f>(E295-'Stats &amp; 3-Sigma Control Bounds'!$C$6)/'Stats &amp; 3-Sigma Control Bounds'!$C$9</f>
        <v/>
      </c>
      <c r="H295" s="14">
        <f>IF(F295="🚨 ANOMALY SPIKE", "IMMEDIATE ESCALATION TO ENGINEERING", IF(F295="💳 CREDIT", "AUDIT CREDIT ALLOCATION", "APPROVED USAGE"))</f>
        <v/>
      </c>
    </row>
    <row r="296">
      <c r="A296" s="13">
        <f>'Master Cleaned Data Pipeline'!A291</f>
        <v/>
      </c>
      <c r="B296" s="13">
        <f>'Master Cleaned Data Pipeline'!B291</f>
        <v/>
      </c>
      <c r="C296" s="14">
        <f>'Master Cleaned Data Pipeline'!I291</f>
        <v/>
      </c>
      <c r="D296" s="14">
        <f>'Master Cleaned Data Pipeline'!F291</f>
        <v/>
      </c>
      <c r="E296" s="15">
        <f>'Master Cleaned Data Pipeline'!G291</f>
        <v/>
      </c>
      <c r="F296" s="13">
        <f>IF(E296&gt;'Stats &amp; 3-Sigma Control Bounds'!$C$21, "🚨 ANOMALY SPIKE", IF(E296&lt;0, "💳 CREDIT", "NORMAL"))</f>
        <v/>
      </c>
      <c r="G296" s="16">
        <f>(E296-'Stats &amp; 3-Sigma Control Bounds'!$C$6)/'Stats &amp; 3-Sigma Control Bounds'!$C$9</f>
        <v/>
      </c>
      <c r="H296" s="14">
        <f>IF(F296="🚨 ANOMALY SPIKE", "IMMEDIATE ESCALATION TO ENGINEERING", IF(F296="💳 CREDIT", "AUDIT CREDIT ALLOCATION", "APPROVED USAGE"))</f>
        <v/>
      </c>
    </row>
    <row r="297">
      <c r="A297" s="13">
        <f>'Master Cleaned Data Pipeline'!A292</f>
        <v/>
      </c>
      <c r="B297" s="13">
        <f>'Master Cleaned Data Pipeline'!B292</f>
        <v/>
      </c>
      <c r="C297" s="14">
        <f>'Master Cleaned Data Pipeline'!I292</f>
        <v/>
      </c>
      <c r="D297" s="14">
        <f>'Master Cleaned Data Pipeline'!F292</f>
        <v/>
      </c>
      <c r="E297" s="15">
        <f>'Master Cleaned Data Pipeline'!G292</f>
        <v/>
      </c>
      <c r="F297" s="13">
        <f>IF(E297&gt;'Stats &amp; 3-Sigma Control Bounds'!$C$21, "🚨 ANOMALY SPIKE", IF(E297&lt;0, "💳 CREDIT", "NORMAL"))</f>
        <v/>
      </c>
      <c r="G297" s="16">
        <f>(E297-'Stats &amp; 3-Sigma Control Bounds'!$C$6)/'Stats &amp; 3-Sigma Control Bounds'!$C$9</f>
        <v/>
      </c>
      <c r="H297" s="14">
        <f>IF(F297="🚨 ANOMALY SPIKE", "IMMEDIATE ESCALATION TO ENGINEERING", IF(F297="💳 CREDIT", "AUDIT CREDIT ALLOCATION", "APPROVED USAGE"))</f>
        <v/>
      </c>
    </row>
    <row r="298">
      <c r="A298" s="13">
        <f>'Master Cleaned Data Pipeline'!A293</f>
        <v/>
      </c>
      <c r="B298" s="13">
        <f>'Master Cleaned Data Pipeline'!B293</f>
        <v/>
      </c>
      <c r="C298" s="14">
        <f>'Master Cleaned Data Pipeline'!I293</f>
        <v/>
      </c>
      <c r="D298" s="14">
        <f>'Master Cleaned Data Pipeline'!F293</f>
        <v/>
      </c>
      <c r="E298" s="15">
        <f>'Master Cleaned Data Pipeline'!G293</f>
        <v/>
      </c>
      <c r="F298" s="13">
        <f>IF(E298&gt;'Stats &amp; 3-Sigma Control Bounds'!$C$21, "🚨 ANOMALY SPIKE", IF(E298&lt;0, "💳 CREDIT", "NORMAL"))</f>
        <v/>
      </c>
      <c r="G298" s="16">
        <f>(E298-'Stats &amp; 3-Sigma Control Bounds'!$C$6)/'Stats &amp; 3-Sigma Control Bounds'!$C$9</f>
        <v/>
      </c>
      <c r="H298" s="14">
        <f>IF(F298="🚨 ANOMALY SPIKE", "IMMEDIATE ESCALATION TO ENGINEERING", IF(F298="💳 CREDIT", "AUDIT CREDIT ALLOCATION", "APPROVED USAGE"))</f>
        <v/>
      </c>
    </row>
    <row r="299">
      <c r="A299" s="13">
        <f>'Master Cleaned Data Pipeline'!A294</f>
        <v/>
      </c>
      <c r="B299" s="13">
        <f>'Master Cleaned Data Pipeline'!B294</f>
        <v/>
      </c>
      <c r="C299" s="14">
        <f>'Master Cleaned Data Pipeline'!I294</f>
        <v/>
      </c>
      <c r="D299" s="14">
        <f>'Master Cleaned Data Pipeline'!F294</f>
        <v/>
      </c>
      <c r="E299" s="15">
        <f>'Master Cleaned Data Pipeline'!G294</f>
        <v/>
      </c>
      <c r="F299" s="13">
        <f>IF(E299&gt;'Stats &amp; 3-Sigma Control Bounds'!$C$21, "🚨 ANOMALY SPIKE", IF(E299&lt;0, "💳 CREDIT", "NORMAL"))</f>
        <v/>
      </c>
      <c r="G299" s="16">
        <f>(E299-'Stats &amp; 3-Sigma Control Bounds'!$C$6)/'Stats &amp; 3-Sigma Control Bounds'!$C$9</f>
        <v/>
      </c>
      <c r="H299" s="14">
        <f>IF(F299="🚨 ANOMALY SPIKE", "IMMEDIATE ESCALATION TO ENGINEERING", IF(F299="💳 CREDIT", "AUDIT CREDIT ALLOCATION", "APPROVED USAGE"))</f>
        <v/>
      </c>
    </row>
    <row r="300">
      <c r="A300" s="13">
        <f>'Master Cleaned Data Pipeline'!A295</f>
        <v/>
      </c>
      <c r="B300" s="13">
        <f>'Master Cleaned Data Pipeline'!B295</f>
        <v/>
      </c>
      <c r="C300" s="14">
        <f>'Master Cleaned Data Pipeline'!I295</f>
        <v/>
      </c>
      <c r="D300" s="14">
        <f>'Master Cleaned Data Pipeline'!F295</f>
        <v/>
      </c>
      <c r="E300" s="15">
        <f>'Master Cleaned Data Pipeline'!G295</f>
        <v/>
      </c>
      <c r="F300" s="13">
        <f>IF(E300&gt;'Stats &amp; 3-Sigma Control Bounds'!$C$21, "🚨 ANOMALY SPIKE", IF(E300&lt;0, "💳 CREDIT", "NORMAL"))</f>
        <v/>
      </c>
      <c r="G300" s="16">
        <f>(E300-'Stats &amp; 3-Sigma Control Bounds'!$C$6)/'Stats &amp; 3-Sigma Control Bounds'!$C$9</f>
        <v/>
      </c>
      <c r="H300" s="14">
        <f>IF(F300="🚨 ANOMALY SPIKE", "IMMEDIATE ESCALATION TO ENGINEERING", IF(F300="💳 CREDIT", "AUDIT CREDIT ALLOCATION", "APPROVED USAGE"))</f>
        <v/>
      </c>
    </row>
    <row r="301">
      <c r="A301" s="13">
        <f>'Master Cleaned Data Pipeline'!A296</f>
        <v/>
      </c>
      <c r="B301" s="13">
        <f>'Master Cleaned Data Pipeline'!B296</f>
        <v/>
      </c>
      <c r="C301" s="14">
        <f>'Master Cleaned Data Pipeline'!I296</f>
        <v/>
      </c>
      <c r="D301" s="14">
        <f>'Master Cleaned Data Pipeline'!F296</f>
        <v/>
      </c>
      <c r="E301" s="15">
        <f>'Master Cleaned Data Pipeline'!G296</f>
        <v/>
      </c>
      <c r="F301" s="13">
        <f>IF(E301&gt;'Stats &amp; 3-Sigma Control Bounds'!$C$21, "🚨 ANOMALY SPIKE", IF(E301&lt;0, "💳 CREDIT", "NORMAL"))</f>
        <v/>
      </c>
      <c r="G301" s="16">
        <f>(E301-'Stats &amp; 3-Sigma Control Bounds'!$C$6)/'Stats &amp; 3-Sigma Control Bounds'!$C$9</f>
        <v/>
      </c>
      <c r="H301" s="14">
        <f>IF(F301="🚨 ANOMALY SPIKE", "IMMEDIATE ESCALATION TO ENGINEERING", IF(F301="💳 CREDIT", "AUDIT CREDIT ALLOCATION", "APPROVED USAGE"))</f>
        <v/>
      </c>
    </row>
    <row r="302">
      <c r="A302" s="13">
        <f>'Master Cleaned Data Pipeline'!A297</f>
        <v/>
      </c>
      <c r="B302" s="13">
        <f>'Master Cleaned Data Pipeline'!B297</f>
        <v/>
      </c>
      <c r="C302" s="14">
        <f>'Master Cleaned Data Pipeline'!I297</f>
        <v/>
      </c>
      <c r="D302" s="14">
        <f>'Master Cleaned Data Pipeline'!F297</f>
        <v/>
      </c>
      <c r="E302" s="15">
        <f>'Master Cleaned Data Pipeline'!G297</f>
        <v/>
      </c>
      <c r="F302" s="13">
        <f>IF(E302&gt;'Stats &amp; 3-Sigma Control Bounds'!$C$21, "🚨 ANOMALY SPIKE", IF(E302&lt;0, "💳 CREDIT", "NORMAL"))</f>
        <v/>
      </c>
      <c r="G302" s="16">
        <f>(E302-'Stats &amp; 3-Sigma Control Bounds'!$C$6)/'Stats &amp; 3-Sigma Control Bounds'!$C$9</f>
        <v/>
      </c>
      <c r="H302" s="14">
        <f>IF(F302="🚨 ANOMALY SPIKE", "IMMEDIATE ESCALATION TO ENGINEERING", IF(F302="💳 CREDIT", "AUDIT CREDIT ALLOCATION", "APPROVED USAGE"))</f>
        <v/>
      </c>
    </row>
    <row r="303">
      <c r="A303" s="13">
        <f>'Master Cleaned Data Pipeline'!A298</f>
        <v/>
      </c>
      <c r="B303" s="13">
        <f>'Master Cleaned Data Pipeline'!B298</f>
        <v/>
      </c>
      <c r="C303" s="14">
        <f>'Master Cleaned Data Pipeline'!I298</f>
        <v/>
      </c>
      <c r="D303" s="14">
        <f>'Master Cleaned Data Pipeline'!F298</f>
        <v/>
      </c>
      <c r="E303" s="15">
        <f>'Master Cleaned Data Pipeline'!G298</f>
        <v/>
      </c>
      <c r="F303" s="13">
        <f>IF(E303&gt;'Stats &amp; 3-Sigma Control Bounds'!$C$21, "🚨 ANOMALY SPIKE", IF(E303&lt;0, "💳 CREDIT", "NORMAL"))</f>
        <v/>
      </c>
      <c r="G303" s="16">
        <f>(E303-'Stats &amp; 3-Sigma Control Bounds'!$C$6)/'Stats &amp; 3-Sigma Control Bounds'!$C$9</f>
        <v/>
      </c>
      <c r="H303" s="14">
        <f>IF(F303="🚨 ANOMALY SPIKE", "IMMEDIATE ESCALATION TO ENGINEERING", IF(F303="💳 CREDIT", "AUDIT CREDIT ALLOCATION", "APPROVED USAGE"))</f>
        <v/>
      </c>
    </row>
    <row r="304">
      <c r="A304" s="13">
        <f>'Master Cleaned Data Pipeline'!A299</f>
        <v/>
      </c>
      <c r="B304" s="13">
        <f>'Master Cleaned Data Pipeline'!B299</f>
        <v/>
      </c>
      <c r="C304" s="14">
        <f>'Master Cleaned Data Pipeline'!I299</f>
        <v/>
      </c>
      <c r="D304" s="14">
        <f>'Master Cleaned Data Pipeline'!F299</f>
        <v/>
      </c>
      <c r="E304" s="15">
        <f>'Master Cleaned Data Pipeline'!G299</f>
        <v/>
      </c>
      <c r="F304" s="13">
        <f>IF(E304&gt;'Stats &amp; 3-Sigma Control Bounds'!$C$21, "🚨 ANOMALY SPIKE", IF(E304&lt;0, "💳 CREDIT", "NORMAL"))</f>
        <v/>
      </c>
      <c r="G304" s="16">
        <f>(E304-'Stats &amp; 3-Sigma Control Bounds'!$C$6)/'Stats &amp; 3-Sigma Control Bounds'!$C$9</f>
        <v/>
      </c>
      <c r="H304" s="14">
        <f>IF(F304="🚨 ANOMALY SPIKE", "IMMEDIATE ESCALATION TO ENGINEERING", IF(F304="💳 CREDIT", "AUDIT CREDIT ALLOCATION", "APPROVED USAGE"))</f>
        <v/>
      </c>
    </row>
    <row r="305">
      <c r="A305" s="13">
        <f>'Master Cleaned Data Pipeline'!A300</f>
        <v/>
      </c>
      <c r="B305" s="13">
        <f>'Master Cleaned Data Pipeline'!B300</f>
        <v/>
      </c>
      <c r="C305" s="14">
        <f>'Master Cleaned Data Pipeline'!I300</f>
        <v/>
      </c>
      <c r="D305" s="14">
        <f>'Master Cleaned Data Pipeline'!F300</f>
        <v/>
      </c>
      <c r="E305" s="15">
        <f>'Master Cleaned Data Pipeline'!G300</f>
        <v/>
      </c>
      <c r="F305" s="13">
        <f>IF(E305&gt;'Stats &amp; 3-Sigma Control Bounds'!$C$21, "🚨 ANOMALY SPIKE", IF(E305&lt;0, "💳 CREDIT", "NORMAL"))</f>
        <v/>
      </c>
      <c r="G305" s="16">
        <f>(E305-'Stats &amp; 3-Sigma Control Bounds'!$C$6)/'Stats &amp; 3-Sigma Control Bounds'!$C$9</f>
        <v/>
      </c>
      <c r="H305" s="14">
        <f>IF(F305="🚨 ANOMALY SPIKE", "IMMEDIATE ESCALATION TO ENGINEERING", IF(F305="💳 CREDIT", "AUDIT CREDIT ALLOCATION", "APPROVED USAGE"))</f>
        <v/>
      </c>
    </row>
    <row r="306">
      <c r="A306" s="13">
        <f>'Master Cleaned Data Pipeline'!A301</f>
        <v/>
      </c>
      <c r="B306" s="13">
        <f>'Master Cleaned Data Pipeline'!B301</f>
        <v/>
      </c>
      <c r="C306" s="14">
        <f>'Master Cleaned Data Pipeline'!I301</f>
        <v/>
      </c>
      <c r="D306" s="14">
        <f>'Master Cleaned Data Pipeline'!F301</f>
        <v/>
      </c>
      <c r="E306" s="15">
        <f>'Master Cleaned Data Pipeline'!G301</f>
        <v/>
      </c>
      <c r="F306" s="13">
        <f>IF(E306&gt;'Stats &amp; 3-Sigma Control Bounds'!$C$21, "🚨 ANOMALY SPIKE", IF(E306&lt;0, "💳 CREDIT", "NORMAL"))</f>
        <v/>
      </c>
      <c r="G306" s="16">
        <f>(E306-'Stats &amp; 3-Sigma Control Bounds'!$C$6)/'Stats &amp; 3-Sigma Control Bounds'!$C$9</f>
        <v/>
      </c>
      <c r="H306" s="14">
        <f>IF(F306="🚨 ANOMALY SPIKE", "IMMEDIATE ESCALATION TO ENGINEERING", IF(F306="💳 CREDIT", "AUDIT CREDIT ALLOCATION", "APPROVED USAGE"))</f>
        <v/>
      </c>
    </row>
    <row r="307">
      <c r="A307" s="13">
        <f>'Master Cleaned Data Pipeline'!A302</f>
        <v/>
      </c>
      <c r="B307" s="13">
        <f>'Master Cleaned Data Pipeline'!B302</f>
        <v/>
      </c>
      <c r="C307" s="14">
        <f>'Master Cleaned Data Pipeline'!I302</f>
        <v/>
      </c>
      <c r="D307" s="14">
        <f>'Master Cleaned Data Pipeline'!F302</f>
        <v/>
      </c>
      <c r="E307" s="15">
        <f>'Master Cleaned Data Pipeline'!G302</f>
        <v/>
      </c>
      <c r="F307" s="13">
        <f>IF(E307&gt;'Stats &amp; 3-Sigma Control Bounds'!$C$21, "🚨 ANOMALY SPIKE", IF(E307&lt;0, "💳 CREDIT", "NORMAL"))</f>
        <v/>
      </c>
      <c r="G307" s="16">
        <f>(E307-'Stats &amp; 3-Sigma Control Bounds'!$C$6)/'Stats &amp; 3-Sigma Control Bounds'!$C$9</f>
        <v/>
      </c>
      <c r="H307" s="14">
        <f>IF(F307="🚨 ANOMALY SPIKE", "IMMEDIATE ESCALATION TO ENGINEERING", IF(F307="💳 CREDIT", "AUDIT CREDIT ALLOCATION", "APPROVED USAGE"))</f>
        <v/>
      </c>
    </row>
    <row r="308">
      <c r="A308" s="13">
        <f>'Master Cleaned Data Pipeline'!A303</f>
        <v/>
      </c>
      <c r="B308" s="13">
        <f>'Master Cleaned Data Pipeline'!B303</f>
        <v/>
      </c>
      <c r="C308" s="14">
        <f>'Master Cleaned Data Pipeline'!I303</f>
        <v/>
      </c>
      <c r="D308" s="14">
        <f>'Master Cleaned Data Pipeline'!F303</f>
        <v/>
      </c>
      <c r="E308" s="15">
        <f>'Master Cleaned Data Pipeline'!G303</f>
        <v/>
      </c>
      <c r="F308" s="13">
        <f>IF(E308&gt;'Stats &amp; 3-Sigma Control Bounds'!$C$21, "🚨 ANOMALY SPIKE", IF(E308&lt;0, "💳 CREDIT", "NORMAL"))</f>
        <v/>
      </c>
      <c r="G308" s="16">
        <f>(E308-'Stats &amp; 3-Sigma Control Bounds'!$C$6)/'Stats &amp; 3-Sigma Control Bounds'!$C$9</f>
        <v/>
      </c>
      <c r="H308" s="14">
        <f>IF(F308="🚨 ANOMALY SPIKE", "IMMEDIATE ESCALATION TO ENGINEERING", IF(F308="💳 CREDIT", "AUDIT CREDIT ALLOCATION", "APPROVED USAGE"))</f>
        <v/>
      </c>
    </row>
    <row r="309">
      <c r="A309" s="13">
        <f>'Master Cleaned Data Pipeline'!A304</f>
        <v/>
      </c>
      <c r="B309" s="13">
        <f>'Master Cleaned Data Pipeline'!B304</f>
        <v/>
      </c>
      <c r="C309" s="14">
        <f>'Master Cleaned Data Pipeline'!I304</f>
        <v/>
      </c>
      <c r="D309" s="14">
        <f>'Master Cleaned Data Pipeline'!F304</f>
        <v/>
      </c>
      <c r="E309" s="15">
        <f>'Master Cleaned Data Pipeline'!G304</f>
        <v/>
      </c>
      <c r="F309" s="13">
        <f>IF(E309&gt;'Stats &amp; 3-Sigma Control Bounds'!$C$21, "🚨 ANOMALY SPIKE", IF(E309&lt;0, "💳 CREDIT", "NORMAL"))</f>
        <v/>
      </c>
      <c r="G309" s="16">
        <f>(E309-'Stats &amp; 3-Sigma Control Bounds'!$C$6)/'Stats &amp; 3-Sigma Control Bounds'!$C$9</f>
        <v/>
      </c>
      <c r="H309" s="14">
        <f>IF(F309="🚨 ANOMALY SPIKE", "IMMEDIATE ESCALATION TO ENGINEERING", IF(F309="💳 CREDIT", "AUDIT CREDIT ALLOCATION", "APPROVED USAGE"))</f>
        <v/>
      </c>
    </row>
    <row r="310">
      <c r="A310" s="13">
        <f>'Master Cleaned Data Pipeline'!A305</f>
        <v/>
      </c>
      <c r="B310" s="13">
        <f>'Master Cleaned Data Pipeline'!B305</f>
        <v/>
      </c>
      <c r="C310" s="14">
        <f>'Master Cleaned Data Pipeline'!I305</f>
        <v/>
      </c>
      <c r="D310" s="14">
        <f>'Master Cleaned Data Pipeline'!F305</f>
        <v/>
      </c>
      <c r="E310" s="15">
        <f>'Master Cleaned Data Pipeline'!G305</f>
        <v/>
      </c>
      <c r="F310" s="13">
        <f>IF(E310&gt;'Stats &amp; 3-Sigma Control Bounds'!$C$21, "🚨 ANOMALY SPIKE", IF(E310&lt;0, "💳 CREDIT", "NORMAL"))</f>
        <v/>
      </c>
      <c r="G310" s="16">
        <f>(E310-'Stats &amp; 3-Sigma Control Bounds'!$C$6)/'Stats &amp; 3-Sigma Control Bounds'!$C$9</f>
        <v/>
      </c>
      <c r="H310" s="14">
        <f>IF(F310="🚨 ANOMALY SPIKE", "IMMEDIATE ESCALATION TO ENGINEERING", IF(F310="💳 CREDIT", "AUDIT CREDIT ALLOCATION", "APPROVED USAGE"))</f>
        <v/>
      </c>
    </row>
    <row r="311">
      <c r="A311" s="13">
        <f>'Master Cleaned Data Pipeline'!A306</f>
        <v/>
      </c>
      <c r="B311" s="13">
        <f>'Master Cleaned Data Pipeline'!B306</f>
        <v/>
      </c>
      <c r="C311" s="14">
        <f>'Master Cleaned Data Pipeline'!I306</f>
        <v/>
      </c>
      <c r="D311" s="14">
        <f>'Master Cleaned Data Pipeline'!F306</f>
        <v/>
      </c>
      <c r="E311" s="15">
        <f>'Master Cleaned Data Pipeline'!G306</f>
        <v/>
      </c>
      <c r="F311" s="13">
        <f>IF(E311&gt;'Stats &amp; 3-Sigma Control Bounds'!$C$21, "🚨 ANOMALY SPIKE", IF(E311&lt;0, "💳 CREDIT", "NORMAL"))</f>
        <v/>
      </c>
      <c r="G311" s="16">
        <f>(E311-'Stats &amp; 3-Sigma Control Bounds'!$C$6)/'Stats &amp; 3-Sigma Control Bounds'!$C$9</f>
        <v/>
      </c>
      <c r="H311" s="14">
        <f>IF(F311="🚨 ANOMALY SPIKE", "IMMEDIATE ESCALATION TO ENGINEERING", IF(F311="💳 CREDIT", "AUDIT CREDIT ALLOCATION", "APPROVED USAGE"))</f>
        <v/>
      </c>
    </row>
    <row r="312">
      <c r="A312" s="13">
        <f>'Master Cleaned Data Pipeline'!A307</f>
        <v/>
      </c>
      <c r="B312" s="13">
        <f>'Master Cleaned Data Pipeline'!B307</f>
        <v/>
      </c>
      <c r="C312" s="14">
        <f>'Master Cleaned Data Pipeline'!I307</f>
        <v/>
      </c>
      <c r="D312" s="14">
        <f>'Master Cleaned Data Pipeline'!F307</f>
        <v/>
      </c>
      <c r="E312" s="15">
        <f>'Master Cleaned Data Pipeline'!G307</f>
        <v/>
      </c>
      <c r="F312" s="13">
        <f>IF(E312&gt;'Stats &amp; 3-Sigma Control Bounds'!$C$21, "🚨 ANOMALY SPIKE", IF(E312&lt;0, "💳 CREDIT", "NORMAL"))</f>
        <v/>
      </c>
      <c r="G312" s="16">
        <f>(E312-'Stats &amp; 3-Sigma Control Bounds'!$C$6)/'Stats &amp; 3-Sigma Control Bounds'!$C$9</f>
        <v/>
      </c>
      <c r="H312" s="14">
        <f>IF(F312="🚨 ANOMALY SPIKE", "IMMEDIATE ESCALATION TO ENGINEERING", IF(F312="💳 CREDIT", "AUDIT CREDIT ALLOCATION", "APPROVED USAGE"))</f>
        <v/>
      </c>
    </row>
    <row r="313">
      <c r="A313" s="13">
        <f>'Master Cleaned Data Pipeline'!A308</f>
        <v/>
      </c>
      <c r="B313" s="13">
        <f>'Master Cleaned Data Pipeline'!B308</f>
        <v/>
      </c>
      <c r="C313" s="14">
        <f>'Master Cleaned Data Pipeline'!I308</f>
        <v/>
      </c>
      <c r="D313" s="14">
        <f>'Master Cleaned Data Pipeline'!F308</f>
        <v/>
      </c>
      <c r="E313" s="15">
        <f>'Master Cleaned Data Pipeline'!G308</f>
        <v/>
      </c>
      <c r="F313" s="13">
        <f>IF(E313&gt;'Stats &amp; 3-Sigma Control Bounds'!$C$21, "🚨 ANOMALY SPIKE", IF(E313&lt;0, "💳 CREDIT", "NORMAL"))</f>
        <v/>
      </c>
      <c r="G313" s="16">
        <f>(E313-'Stats &amp; 3-Sigma Control Bounds'!$C$6)/'Stats &amp; 3-Sigma Control Bounds'!$C$9</f>
        <v/>
      </c>
      <c r="H313" s="14">
        <f>IF(F313="🚨 ANOMALY SPIKE", "IMMEDIATE ESCALATION TO ENGINEERING", IF(F313="💳 CREDIT", "AUDIT CREDIT ALLOCATION", "APPROVED USAGE"))</f>
        <v/>
      </c>
    </row>
    <row r="314">
      <c r="A314" s="13">
        <f>'Master Cleaned Data Pipeline'!A309</f>
        <v/>
      </c>
      <c r="B314" s="13">
        <f>'Master Cleaned Data Pipeline'!B309</f>
        <v/>
      </c>
      <c r="C314" s="14">
        <f>'Master Cleaned Data Pipeline'!I309</f>
        <v/>
      </c>
      <c r="D314" s="14">
        <f>'Master Cleaned Data Pipeline'!F309</f>
        <v/>
      </c>
      <c r="E314" s="15">
        <f>'Master Cleaned Data Pipeline'!G309</f>
        <v/>
      </c>
      <c r="F314" s="13">
        <f>IF(E314&gt;'Stats &amp; 3-Sigma Control Bounds'!$C$21, "🚨 ANOMALY SPIKE", IF(E314&lt;0, "💳 CREDIT", "NORMAL"))</f>
        <v/>
      </c>
      <c r="G314" s="16">
        <f>(E314-'Stats &amp; 3-Sigma Control Bounds'!$C$6)/'Stats &amp; 3-Sigma Control Bounds'!$C$9</f>
        <v/>
      </c>
      <c r="H314" s="14">
        <f>IF(F314="🚨 ANOMALY SPIKE", "IMMEDIATE ESCALATION TO ENGINEERING", IF(F314="💳 CREDIT", "AUDIT CREDIT ALLOCATION", "APPROVED USAGE"))</f>
        <v/>
      </c>
    </row>
    <row r="315">
      <c r="A315" s="13">
        <f>'Master Cleaned Data Pipeline'!A310</f>
        <v/>
      </c>
      <c r="B315" s="13">
        <f>'Master Cleaned Data Pipeline'!B310</f>
        <v/>
      </c>
      <c r="C315" s="14">
        <f>'Master Cleaned Data Pipeline'!I310</f>
        <v/>
      </c>
      <c r="D315" s="14">
        <f>'Master Cleaned Data Pipeline'!F310</f>
        <v/>
      </c>
      <c r="E315" s="15">
        <f>'Master Cleaned Data Pipeline'!G310</f>
        <v/>
      </c>
      <c r="F315" s="13">
        <f>IF(E315&gt;'Stats &amp; 3-Sigma Control Bounds'!$C$21, "🚨 ANOMALY SPIKE", IF(E315&lt;0, "💳 CREDIT", "NORMAL"))</f>
        <v/>
      </c>
      <c r="G315" s="16">
        <f>(E315-'Stats &amp; 3-Sigma Control Bounds'!$C$6)/'Stats &amp; 3-Sigma Control Bounds'!$C$9</f>
        <v/>
      </c>
      <c r="H315" s="14">
        <f>IF(F315="🚨 ANOMALY SPIKE", "IMMEDIATE ESCALATION TO ENGINEERING", IF(F315="💳 CREDIT", "AUDIT CREDIT ALLOCATION", "APPROVED USAGE"))</f>
        <v/>
      </c>
    </row>
    <row r="316">
      <c r="A316" s="13">
        <f>'Master Cleaned Data Pipeline'!A311</f>
        <v/>
      </c>
      <c r="B316" s="13">
        <f>'Master Cleaned Data Pipeline'!B311</f>
        <v/>
      </c>
      <c r="C316" s="14">
        <f>'Master Cleaned Data Pipeline'!I311</f>
        <v/>
      </c>
      <c r="D316" s="14">
        <f>'Master Cleaned Data Pipeline'!F311</f>
        <v/>
      </c>
      <c r="E316" s="15">
        <f>'Master Cleaned Data Pipeline'!G311</f>
        <v/>
      </c>
      <c r="F316" s="13">
        <f>IF(E316&gt;'Stats &amp; 3-Sigma Control Bounds'!$C$21, "🚨 ANOMALY SPIKE", IF(E316&lt;0, "💳 CREDIT", "NORMAL"))</f>
        <v/>
      </c>
      <c r="G316" s="16">
        <f>(E316-'Stats &amp; 3-Sigma Control Bounds'!$C$6)/'Stats &amp; 3-Sigma Control Bounds'!$C$9</f>
        <v/>
      </c>
      <c r="H316" s="14">
        <f>IF(F316="🚨 ANOMALY SPIKE", "IMMEDIATE ESCALATION TO ENGINEERING", IF(F316="💳 CREDIT", "AUDIT CREDIT ALLOCATION", "APPROVED USAGE"))</f>
        <v/>
      </c>
    </row>
    <row r="317">
      <c r="A317" s="13">
        <f>'Master Cleaned Data Pipeline'!A312</f>
        <v/>
      </c>
      <c r="B317" s="13">
        <f>'Master Cleaned Data Pipeline'!B312</f>
        <v/>
      </c>
      <c r="C317" s="14">
        <f>'Master Cleaned Data Pipeline'!I312</f>
        <v/>
      </c>
      <c r="D317" s="14">
        <f>'Master Cleaned Data Pipeline'!F312</f>
        <v/>
      </c>
      <c r="E317" s="15">
        <f>'Master Cleaned Data Pipeline'!G312</f>
        <v/>
      </c>
      <c r="F317" s="13">
        <f>IF(E317&gt;'Stats &amp; 3-Sigma Control Bounds'!$C$21, "🚨 ANOMALY SPIKE", IF(E317&lt;0, "💳 CREDIT", "NORMAL"))</f>
        <v/>
      </c>
      <c r="G317" s="16">
        <f>(E317-'Stats &amp; 3-Sigma Control Bounds'!$C$6)/'Stats &amp; 3-Sigma Control Bounds'!$C$9</f>
        <v/>
      </c>
      <c r="H317" s="14">
        <f>IF(F317="🚨 ANOMALY SPIKE", "IMMEDIATE ESCALATION TO ENGINEERING", IF(F317="💳 CREDIT", "AUDIT CREDIT ALLOCATION", "APPROVED USAGE"))</f>
        <v/>
      </c>
    </row>
    <row r="318">
      <c r="A318" s="13">
        <f>'Master Cleaned Data Pipeline'!A313</f>
        <v/>
      </c>
      <c r="B318" s="13">
        <f>'Master Cleaned Data Pipeline'!B313</f>
        <v/>
      </c>
      <c r="C318" s="14">
        <f>'Master Cleaned Data Pipeline'!I313</f>
        <v/>
      </c>
      <c r="D318" s="14">
        <f>'Master Cleaned Data Pipeline'!F313</f>
        <v/>
      </c>
      <c r="E318" s="15">
        <f>'Master Cleaned Data Pipeline'!G313</f>
        <v/>
      </c>
      <c r="F318" s="13">
        <f>IF(E318&gt;'Stats &amp; 3-Sigma Control Bounds'!$C$21, "🚨 ANOMALY SPIKE", IF(E318&lt;0, "💳 CREDIT", "NORMAL"))</f>
        <v/>
      </c>
      <c r="G318" s="16">
        <f>(E318-'Stats &amp; 3-Sigma Control Bounds'!$C$6)/'Stats &amp; 3-Sigma Control Bounds'!$C$9</f>
        <v/>
      </c>
      <c r="H318" s="14">
        <f>IF(F318="🚨 ANOMALY SPIKE", "IMMEDIATE ESCALATION TO ENGINEERING", IF(F318="💳 CREDIT", "AUDIT CREDIT ALLOCATION", "APPROVED USAGE"))</f>
        <v/>
      </c>
    </row>
    <row r="319">
      <c r="A319" s="13">
        <f>'Master Cleaned Data Pipeline'!A314</f>
        <v/>
      </c>
      <c r="B319" s="13">
        <f>'Master Cleaned Data Pipeline'!B314</f>
        <v/>
      </c>
      <c r="C319" s="14">
        <f>'Master Cleaned Data Pipeline'!I314</f>
        <v/>
      </c>
      <c r="D319" s="14">
        <f>'Master Cleaned Data Pipeline'!F314</f>
        <v/>
      </c>
      <c r="E319" s="15">
        <f>'Master Cleaned Data Pipeline'!G314</f>
        <v/>
      </c>
      <c r="F319" s="13">
        <f>IF(E319&gt;'Stats &amp; 3-Sigma Control Bounds'!$C$21, "🚨 ANOMALY SPIKE", IF(E319&lt;0, "💳 CREDIT", "NORMAL"))</f>
        <v/>
      </c>
      <c r="G319" s="16">
        <f>(E319-'Stats &amp; 3-Sigma Control Bounds'!$C$6)/'Stats &amp; 3-Sigma Control Bounds'!$C$9</f>
        <v/>
      </c>
      <c r="H319" s="14">
        <f>IF(F319="🚨 ANOMALY SPIKE", "IMMEDIATE ESCALATION TO ENGINEERING", IF(F319="💳 CREDIT", "AUDIT CREDIT ALLOCATION", "APPROVED USAGE"))</f>
        <v/>
      </c>
    </row>
    <row r="320">
      <c r="A320" s="13">
        <f>'Master Cleaned Data Pipeline'!A315</f>
        <v/>
      </c>
      <c r="B320" s="13">
        <f>'Master Cleaned Data Pipeline'!B315</f>
        <v/>
      </c>
      <c r="C320" s="14">
        <f>'Master Cleaned Data Pipeline'!I315</f>
        <v/>
      </c>
      <c r="D320" s="14">
        <f>'Master Cleaned Data Pipeline'!F315</f>
        <v/>
      </c>
      <c r="E320" s="15">
        <f>'Master Cleaned Data Pipeline'!G315</f>
        <v/>
      </c>
      <c r="F320" s="13">
        <f>IF(E320&gt;'Stats &amp; 3-Sigma Control Bounds'!$C$21, "🚨 ANOMALY SPIKE", IF(E320&lt;0, "💳 CREDIT", "NORMAL"))</f>
        <v/>
      </c>
      <c r="G320" s="16">
        <f>(E320-'Stats &amp; 3-Sigma Control Bounds'!$C$6)/'Stats &amp; 3-Sigma Control Bounds'!$C$9</f>
        <v/>
      </c>
      <c r="H320" s="14">
        <f>IF(F320="🚨 ANOMALY SPIKE", "IMMEDIATE ESCALATION TO ENGINEERING", IF(F320="💳 CREDIT", "AUDIT CREDIT ALLOCATION", "APPROVED USAGE"))</f>
        <v/>
      </c>
    </row>
    <row r="321">
      <c r="A321" s="13">
        <f>'Master Cleaned Data Pipeline'!A316</f>
        <v/>
      </c>
      <c r="B321" s="13">
        <f>'Master Cleaned Data Pipeline'!B316</f>
        <v/>
      </c>
      <c r="C321" s="14">
        <f>'Master Cleaned Data Pipeline'!I316</f>
        <v/>
      </c>
      <c r="D321" s="14">
        <f>'Master Cleaned Data Pipeline'!F316</f>
        <v/>
      </c>
      <c r="E321" s="15">
        <f>'Master Cleaned Data Pipeline'!G316</f>
        <v/>
      </c>
      <c r="F321" s="13">
        <f>IF(E321&gt;'Stats &amp; 3-Sigma Control Bounds'!$C$21, "🚨 ANOMALY SPIKE", IF(E321&lt;0, "💳 CREDIT", "NORMAL"))</f>
        <v/>
      </c>
      <c r="G321" s="16">
        <f>(E321-'Stats &amp; 3-Sigma Control Bounds'!$C$6)/'Stats &amp; 3-Sigma Control Bounds'!$C$9</f>
        <v/>
      </c>
      <c r="H321" s="14">
        <f>IF(F321="🚨 ANOMALY SPIKE", "IMMEDIATE ESCALATION TO ENGINEERING", IF(F321="💳 CREDIT", "AUDIT CREDIT ALLOCATION", "APPROVED USAGE"))</f>
        <v/>
      </c>
    </row>
    <row r="322">
      <c r="A322" s="13">
        <f>'Master Cleaned Data Pipeline'!A317</f>
        <v/>
      </c>
      <c r="B322" s="13">
        <f>'Master Cleaned Data Pipeline'!B317</f>
        <v/>
      </c>
      <c r="C322" s="14">
        <f>'Master Cleaned Data Pipeline'!I317</f>
        <v/>
      </c>
      <c r="D322" s="14">
        <f>'Master Cleaned Data Pipeline'!F317</f>
        <v/>
      </c>
      <c r="E322" s="15">
        <f>'Master Cleaned Data Pipeline'!G317</f>
        <v/>
      </c>
      <c r="F322" s="13">
        <f>IF(E322&gt;'Stats &amp; 3-Sigma Control Bounds'!$C$21, "🚨 ANOMALY SPIKE", IF(E322&lt;0, "💳 CREDIT", "NORMAL"))</f>
        <v/>
      </c>
      <c r="G322" s="16">
        <f>(E322-'Stats &amp; 3-Sigma Control Bounds'!$C$6)/'Stats &amp; 3-Sigma Control Bounds'!$C$9</f>
        <v/>
      </c>
      <c r="H322" s="14">
        <f>IF(F322="🚨 ANOMALY SPIKE", "IMMEDIATE ESCALATION TO ENGINEERING", IF(F322="💳 CREDIT", "AUDIT CREDIT ALLOCATION", "APPROVED USAGE"))</f>
        <v/>
      </c>
    </row>
    <row r="323">
      <c r="A323" s="13">
        <f>'Master Cleaned Data Pipeline'!A318</f>
        <v/>
      </c>
      <c r="B323" s="13">
        <f>'Master Cleaned Data Pipeline'!B318</f>
        <v/>
      </c>
      <c r="C323" s="14">
        <f>'Master Cleaned Data Pipeline'!I318</f>
        <v/>
      </c>
      <c r="D323" s="14">
        <f>'Master Cleaned Data Pipeline'!F318</f>
        <v/>
      </c>
      <c r="E323" s="15">
        <f>'Master Cleaned Data Pipeline'!G318</f>
        <v/>
      </c>
      <c r="F323" s="13">
        <f>IF(E323&gt;'Stats &amp; 3-Sigma Control Bounds'!$C$21, "🚨 ANOMALY SPIKE", IF(E323&lt;0, "💳 CREDIT", "NORMAL"))</f>
        <v/>
      </c>
      <c r="G323" s="16">
        <f>(E323-'Stats &amp; 3-Sigma Control Bounds'!$C$6)/'Stats &amp; 3-Sigma Control Bounds'!$C$9</f>
        <v/>
      </c>
      <c r="H323" s="14">
        <f>IF(F323="🚨 ANOMALY SPIKE", "IMMEDIATE ESCALATION TO ENGINEERING", IF(F323="💳 CREDIT", "AUDIT CREDIT ALLOCATION", "APPROVED USAGE"))</f>
        <v/>
      </c>
    </row>
    <row r="324">
      <c r="A324" s="13">
        <f>'Master Cleaned Data Pipeline'!A319</f>
        <v/>
      </c>
      <c r="B324" s="13">
        <f>'Master Cleaned Data Pipeline'!B319</f>
        <v/>
      </c>
      <c r="C324" s="14">
        <f>'Master Cleaned Data Pipeline'!I319</f>
        <v/>
      </c>
      <c r="D324" s="14">
        <f>'Master Cleaned Data Pipeline'!F319</f>
        <v/>
      </c>
      <c r="E324" s="15">
        <f>'Master Cleaned Data Pipeline'!G319</f>
        <v/>
      </c>
      <c r="F324" s="13">
        <f>IF(E324&gt;'Stats &amp; 3-Sigma Control Bounds'!$C$21, "🚨 ANOMALY SPIKE", IF(E324&lt;0, "💳 CREDIT", "NORMAL"))</f>
        <v/>
      </c>
      <c r="G324" s="16">
        <f>(E324-'Stats &amp; 3-Sigma Control Bounds'!$C$6)/'Stats &amp; 3-Sigma Control Bounds'!$C$9</f>
        <v/>
      </c>
      <c r="H324" s="14">
        <f>IF(F324="🚨 ANOMALY SPIKE", "IMMEDIATE ESCALATION TO ENGINEERING", IF(F324="💳 CREDIT", "AUDIT CREDIT ALLOCATION", "APPROVED USAGE"))</f>
        <v/>
      </c>
    </row>
    <row r="325">
      <c r="A325" s="13">
        <f>'Master Cleaned Data Pipeline'!A320</f>
        <v/>
      </c>
      <c r="B325" s="13">
        <f>'Master Cleaned Data Pipeline'!B320</f>
        <v/>
      </c>
      <c r="C325" s="14">
        <f>'Master Cleaned Data Pipeline'!I320</f>
        <v/>
      </c>
      <c r="D325" s="14">
        <f>'Master Cleaned Data Pipeline'!F320</f>
        <v/>
      </c>
      <c r="E325" s="15">
        <f>'Master Cleaned Data Pipeline'!G320</f>
        <v/>
      </c>
      <c r="F325" s="13">
        <f>IF(E325&gt;'Stats &amp; 3-Sigma Control Bounds'!$C$21, "🚨 ANOMALY SPIKE", IF(E325&lt;0, "💳 CREDIT", "NORMAL"))</f>
        <v/>
      </c>
      <c r="G325" s="16">
        <f>(E325-'Stats &amp; 3-Sigma Control Bounds'!$C$6)/'Stats &amp; 3-Sigma Control Bounds'!$C$9</f>
        <v/>
      </c>
      <c r="H325" s="14">
        <f>IF(F325="🚨 ANOMALY SPIKE", "IMMEDIATE ESCALATION TO ENGINEERING", IF(F325="💳 CREDIT", "AUDIT CREDIT ALLOCATION", "APPROVED USAGE"))</f>
        <v/>
      </c>
    </row>
    <row r="326">
      <c r="A326" s="13">
        <f>'Master Cleaned Data Pipeline'!A321</f>
        <v/>
      </c>
      <c r="B326" s="13">
        <f>'Master Cleaned Data Pipeline'!B321</f>
        <v/>
      </c>
      <c r="C326" s="14">
        <f>'Master Cleaned Data Pipeline'!I321</f>
        <v/>
      </c>
      <c r="D326" s="14">
        <f>'Master Cleaned Data Pipeline'!F321</f>
        <v/>
      </c>
      <c r="E326" s="15">
        <f>'Master Cleaned Data Pipeline'!G321</f>
        <v/>
      </c>
      <c r="F326" s="13">
        <f>IF(E326&gt;'Stats &amp; 3-Sigma Control Bounds'!$C$21, "🚨 ANOMALY SPIKE", IF(E326&lt;0, "💳 CREDIT", "NORMAL"))</f>
        <v/>
      </c>
      <c r="G326" s="16">
        <f>(E326-'Stats &amp; 3-Sigma Control Bounds'!$C$6)/'Stats &amp; 3-Sigma Control Bounds'!$C$9</f>
        <v/>
      </c>
      <c r="H326" s="14">
        <f>IF(F326="🚨 ANOMALY SPIKE", "IMMEDIATE ESCALATION TO ENGINEERING", IF(F326="💳 CREDIT", "AUDIT CREDIT ALLOCATION", "APPROVED USAGE"))</f>
        <v/>
      </c>
    </row>
    <row r="327">
      <c r="A327" s="13">
        <f>'Master Cleaned Data Pipeline'!A322</f>
        <v/>
      </c>
      <c r="B327" s="13">
        <f>'Master Cleaned Data Pipeline'!B322</f>
        <v/>
      </c>
      <c r="C327" s="14">
        <f>'Master Cleaned Data Pipeline'!I322</f>
        <v/>
      </c>
      <c r="D327" s="14">
        <f>'Master Cleaned Data Pipeline'!F322</f>
        <v/>
      </c>
      <c r="E327" s="15">
        <f>'Master Cleaned Data Pipeline'!G322</f>
        <v/>
      </c>
      <c r="F327" s="13">
        <f>IF(E327&gt;'Stats &amp; 3-Sigma Control Bounds'!$C$21, "🚨 ANOMALY SPIKE", IF(E327&lt;0, "💳 CREDIT", "NORMAL"))</f>
        <v/>
      </c>
      <c r="G327" s="16">
        <f>(E327-'Stats &amp; 3-Sigma Control Bounds'!$C$6)/'Stats &amp; 3-Sigma Control Bounds'!$C$9</f>
        <v/>
      </c>
      <c r="H327" s="14">
        <f>IF(F327="🚨 ANOMALY SPIKE", "IMMEDIATE ESCALATION TO ENGINEERING", IF(F327="💳 CREDIT", "AUDIT CREDIT ALLOCATION", "APPROVED USAGE"))</f>
        <v/>
      </c>
    </row>
    <row r="328">
      <c r="A328" s="13">
        <f>'Master Cleaned Data Pipeline'!A323</f>
        <v/>
      </c>
      <c r="B328" s="13">
        <f>'Master Cleaned Data Pipeline'!B323</f>
        <v/>
      </c>
      <c r="C328" s="14">
        <f>'Master Cleaned Data Pipeline'!I323</f>
        <v/>
      </c>
      <c r="D328" s="14">
        <f>'Master Cleaned Data Pipeline'!F323</f>
        <v/>
      </c>
      <c r="E328" s="15">
        <f>'Master Cleaned Data Pipeline'!G323</f>
        <v/>
      </c>
      <c r="F328" s="13">
        <f>IF(E328&gt;'Stats &amp; 3-Sigma Control Bounds'!$C$21, "🚨 ANOMALY SPIKE", IF(E328&lt;0, "💳 CREDIT", "NORMAL"))</f>
        <v/>
      </c>
      <c r="G328" s="16">
        <f>(E328-'Stats &amp; 3-Sigma Control Bounds'!$C$6)/'Stats &amp; 3-Sigma Control Bounds'!$C$9</f>
        <v/>
      </c>
      <c r="H328" s="14">
        <f>IF(F328="🚨 ANOMALY SPIKE", "IMMEDIATE ESCALATION TO ENGINEERING", IF(F328="💳 CREDIT", "AUDIT CREDIT ALLOCATION", "APPROVED USAGE"))</f>
        <v/>
      </c>
    </row>
    <row r="329">
      <c r="A329" s="13">
        <f>'Master Cleaned Data Pipeline'!A324</f>
        <v/>
      </c>
      <c r="B329" s="13">
        <f>'Master Cleaned Data Pipeline'!B324</f>
        <v/>
      </c>
      <c r="C329" s="14">
        <f>'Master Cleaned Data Pipeline'!I324</f>
        <v/>
      </c>
      <c r="D329" s="14">
        <f>'Master Cleaned Data Pipeline'!F324</f>
        <v/>
      </c>
      <c r="E329" s="15">
        <f>'Master Cleaned Data Pipeline'!G324</f>
        <v/>
      </c>
      <c r="F329" s="13">
        <f>IF(E329&gt;'Stats &amp; 3-Sigma Control Bounds'!$C$21, "🚨 ANOMALY SPIKE", IF(E329&lt;0, "💳 CREDIT", "NORMAL"))</f>
        <v/>
      </c>
      <c r="G329" s="16">
        <f>(E329-'Stats &amp; 3-Sigma Control Bounds'!$C$6)/'Stats &amp; 3-Sigma Control Bounds'!$C$9</f>
        <v/>
      </c>
      <c r="H329" s="14">
        <f>IF(F329="🚨 ANOMALY SPIKE", "IMMEDIATE ESCALATION TO ENGINEERING", IF(F329="💳 CREDIT", "AUDIT CREDIT ALLOCATION", "APPROVED USAGE"))</f>
        <v/>
      </c>
    </row>
    <row r="330">
      <c r="A330" s="13">
        <f>'Master Cleaned Data Pipeline'!A325</f>
        <v/>
      </c>
      <c r="B330" s="13">
        <f>'Master Cleaned Data Pipeline'!B325</f>
        <v/>
      </c>
      <c r="C330" s="14">
        <f>'Master Cleaned Data Pipeline'!I325</f>
        <v/>
      </c>
      <c r="D330" s="14">
        <f>'Master Cleaned Data Pipeline'!F325</f>
        <v/>
      </c>
      <c r="E330" s="15">
        <f>'Master Cleaned Data Pipeline'!G325</f>
        <v/>
      </c>
      <c r="F330" s="13">
        <f>IF(E330&gt;'Stats &amp; 3-Sigma Control Bounds'!$C$21, "🚨 ANOMALY SPIKE", IF(E330&lt;0, "💳 CREDIT", "NORMAL"))</f>
        <v/>
      </c>
      <c r="G330" s="16">
        <f>(E330-'Stats &amp; 3-Sigma Control Bounds'!$C$6)/'Stats &amp; 3-Sigma Control Bounds'!$C$9</f>
        <v/>
      </c>
      <c r="H330" s="14">
        <f>IF(F330="🚨 ANOMALY SPIKE", "IMMEDIATE ESCALATION TO ENGINEERING", IF(F330="💳 CREDIT", "AUDIT CREDIT ALLOCATION", "APPROVED USAGE"))</f>
        <v/>
      </c>
    </row>
    <row r="331">
      <c r="A331" s="13">
        <f>'Master Cleaned Data Pipeline'!A326</f>
        <v/>
      </c>
      <c r="B331" s="13">
        <f>'Master Cleaned Data Pipeline'!B326</f>
        <v/>
      </c>
      <c r="C331" s="14">
        <f>'Master Cleaned Data Pipeline'!I326</f>
        <v/>
      </c>
      <c r="D331" s="14">
        <f>'Master Cleaned Data Pipeline'!F326</f>
        <v/>
      </c>
      <c r="E331" s="15">
        <f>'Master Cleaned Data Pipeline'!G326</f>
        <v/>
      </c>
      <c r="F331" s="13">
        <f>IF(E331&gt;'Stats &amp; 3-Sigma Control Bounds'!$C$21, "🚨 ANOMALY SPIKE", IF(E331&lt;0, "💳 CREDIT", "NORMAL"))</f>
        <v/>
      </c>
      <c r="G331" s="16">
        <f>(E331-'Stats &amp; 3-Sigma Control Bounds'!$C$6)/'Stats &amp; 3-Sigma Control Bounds'!$C$9</f>
        <v/>
      </c>
      <c r="H331" s="14">
        <f>IF(F331="🚨 ANOMALY SPIKE", "IMMEDIATE ESCALATION TO ENGINEERING", IF(F331="💳 CREDIT", "AUDIT CREDIT ALLOCATION", "APPROVED USAGE"))</f>
        <v/>
      </c>
    </row>
    <row r="332">
      <c r="A332" s="13">
        <f>'Master Cleaned Data Pipeline'!A327</f>
        <v/>
      </c>
      <c r="B332" s="13">
        <f>'Master Cleaned Data Pipeline'!B327</f>
        <v/>
      </c>
      <c r="C332" s="14">
        <f>'Master Cleaned Data Pipeline'!I327</f>
        <v/>
      </c>
      <c r="D332" s="14">
        <f>'Master Cleaned Data Pipeline'!F327</f>
        <v/>
      </c>
      <c r="E332" s="15">
        <f>'Master Cleaned Data Pipeline'!G327</f>
        <v/>
      </c>
      <c r="F332" s="13">
        <f>IF(E332&gt;'Stats &amp; 3-Sigma Control Bounds'!$C$21, "🚨 ANOMALY SPIKE", IF(E332&lt;0, "💳 CREDIT", "NORMAL"))</f>
        <v/>
      </c>
      <c r="G332" s="16">
        <f>(E332-'Stats &amp; 3-Sigma Control Bounds'!$C$6)/'Stats &amp; 3-Sigma Control Bounds'!$C$9</f>
        <v/>
      </c>
      <c r="H332" s="14">
        <f>IF(F332="🚨 ANOMALY SPIKE", "IMMEDIATE ESCALATION TO ENGINEERING", IF(F332="💳 CREDIT", "AUDIT CREDIT ALLOCATION", "APPROVED USAGE"))</f>
        <v/>
      </c>
    </row>
    <row r="333">
      <c r="A333" s="13">
        <f>'Master Cleaned Data Pipeline'!A328</f>
        <v/>
      </c>
      <c r="B333" s="13">
        <f>'Master Cleaned Data Pipeline'!B328</f>
        <v/>
      </c>
      <c r="C333" s="14">
        <f>'Master Cleaned Data Pipeline'!I328</f>
        <v/>
      </c>
      <c r="D333" s="14">
        <f>'Master Cleaned Data Pipeline'!F328</f>
        <v/>
      </c>
      <c r="E333" s="15">
        <f>'Master Cleaned Data Pipeline'!G328</f>
        <v/>
      </c>
      <c r="F333" s="13">
        <f>IF(E333&gt;'Stats &amp; 3-Sigma Control Bounds'!$C$21, "🚨 ANOMALY SPIKE", IF(E333&lt;0, "💳 CREDIT", "NORMAL"))</f>
        <v/>
      </c>
      <c r="G333" s="16">
        <f>(E333-'Stats &amp; 3-Sigma Control Bounds'!$C$6)/'Stats &amp; 3-Sigma Control Bounds'!$C$9</f>
        <v/>
      </c>
      <c r="H333" s="14">
        <f>IF(F333="🚨 ANOMALY SPIKE", "IMMEDIATE ESCALATION TO ENGINEERING", IF(F333="💳 CREDIT", "AUDIT CREDIT ALLOCATION", "APPROVED USAGE"))</f>
        <v/>
      </c>
    </row>
    <row r="334">
      <c r="A334" s="13">
        <f>'Master Cleaned Data Pipeline'!A329</f>
        <v/>
      </c>
      <c r="B334" s="13">
        <f>'Master Cleaned Data Pipeline'!B329</f>
        <v/>
      </c>
      <c r="C334" s="14">
        <f>'Master Cleaned Data Pipeline'!I329</f>
        <v/>
      </c>
      <c r="D334" s="14">
        <f>'Master Cleaned Data Pipeline'!F329</f>
        <v/>
      </c>
      <c r="E334" s="15">
        <f>'Master Cleaned Data Pipeline'!G329</f>
        <v/>
      </c>
      <c r="F334" s="13">
        <f>IF(E334&gt;'Stats &amp; 3-Sigma Control Bounds'!$C$21, "🚨 ANOMALY SPIKE", IF(E334&lt;0, "💳 CREDIT", "NORMAL"))</f>
        <v/>
      </c>
      <c r="G334" s="16">
        <f>(E334-'Stats &amp; 3-Sigma Control Bounds'!$C$6)/'Stats &amp; 3-Sigma Control Bounds'!$C$9</f>
        <v/>
      </c>
      <c r="H334" s="14">
        <f>IF(F334="🚨 ANOMALY SPIKE", "IMMEDIATE ESCALATION TO ENGINEERING", IF(F334="💳 CREDIT", "AUDIT CREDIT ALLOCATION", "APPROVED USAGE"))</f>
        <v/>
      </c>
    </row>
    <row r="335">
      <c r="A335" s="13">
        <f>'Master Cleaned Data Pipeline'!A330</f>
        <v/>
      </c>
      <c r="B335" s="13">
        <f>'Master Cleaned Data Pipeline'!B330</f>
        <v/>
      </c>
      <c r="C335" s="14">
        <f>'Master Cleaned Data Pipeline'!I330</f>
        <v/>
      </c>
      <c r="D335" s="14">
        <f>'Master Cleaned Data Pipeline'!F330</f>
        <v/>
      </c>
      <c r="E335" s="15">
        <f>'Master Cleaned Data Pipeline'!G330</f>
        <v/>
      </c>
      <c r="F335" s="13">
        <f>IF(E335&gt;'Stats &amp; 3-Sigma Control Bounds'!$C$21, "🚨 ANOMALY SPIKE", IF(E335&lt;0, "💳 CREDIT", "NORMAL"))</f>
        <v/>
      </c>
      <c r="G335" s="16">
        <f>(E335-'Stats &amp; 3-Sigma Control Bounds'!$C$6)/'Stats &amp; 3-Sigma Control Bounds'!$C$9</f>
        <v/>
      </c>
      <c r="H335" s="14">
        <f>IF(F335="🚨 ANOMALY SPIKE", "IMMEDIATE ESCALATION TO ENGINEERING", IF(F335="💳 CREDIT", "AUDIT CREDIT ALLOCATION", "APPROVED USAGE"))</f>
        <v/>
      </c>
    </row>
    <row r="336">
      <c r="A336" s="13">
        <f>'Master Cleaned Data Pipeline'!A331</f>
        <v/>
      </c>
      <c r="B336" s="13">
        <f>'Master Cleaned Data Pipeline'!B331</f>
        <v/>
      </c>
      <c r="C336" s="14">
        <f>'Master Cleaned Data Pipeline'!I331</f>
        <v/>
      </c>
      <c r="D336" s="14">
        <f>'Master Cleaned Data Pipeline'!F331</f>
        <v/>
      </c>
      <c r="E336" s="15">
        <f>'Master Cleaned Data Pipeline'!G331</f>
        <v/>
      </c>
      <c r="F336" s="13">
        <f>IF(E336&gt;'Stats &amp; 3-Sigma Control Bounds'!$C$21, "🚨 ANOMALY SPIKE", IF(E336&lt;0, "💳 CREDIT", "NORMAL"))</f>
        <v/>
      </c>
      <c r="G336" s="16">
        <f>(E336-'Stats &amp; 3-Sigma Control Bounds'!$C$6)/'Stats &amp; 3-Sigma Control Bounds'!$C$9</f>
        <v/>
      </c>
      <c r="H336" s="14">
        <f>IF(F336="🚨 ANOMALY SPIKE", "IMMEDIATE ESCALATION TO ENGINEERING", IF(F336="💳 CREDIT", "AUDIT CREDIT ALLOCATION", "APPROVED USAGE"))</f>
        <v/>
      </c>
    </row>
    <row r="337">
      <c r="A337" s="13">
        <f>'Master Cleaned Data Pipeline'!A332</f>
        <v/>
      </c>
      <c r="B337" s="13">
        <f>'Master Cleaned Data Pipeline'!B332</f>
        <v/>
      </c>
      <c r="C337" s="14">
        <f>'Master Cleaned Data Pipeline'!I332</f>
        <v/>
      </c>
      <c r="D337" s="14">
        <f>'Master Cleaned Data Pipeline'!F332</f>
        <v/>
      </c>
      <c r="E337" s="15">
        <f>'Master Cleaned Data Pipeline'!G332</f>
        <v/>
      </c>
      <c r="F337" s="13">
        <f>IF(E337&gt;'Stats &amp; 3-Sigma Control Bounds'!$C$21, "🚨 ANOMALY SPIKE", IF(E337&lt;0, "💳 CREDIT", "NORMAL"))</f>
        <v/>
      </c>
      <c r="G337" s="16">
        <f>(E337-'Stats &amp; 3-Sigma Control Bounds'!$C$6)/'Stats &amp; 3-Sigma Control Bounds'!$C$9</f>
        <v/>
      </c>
      <c r="H337" s="14">
        <f>IF(F337="🚨 ANOMALY SPIKE", "IMMEDIATE ESCALATION TO ENGINEERING", IF(F337="💳 CREDIT", "AUDIT CREDIT ALLOCATION", "APPROVED USAGE"))</f>
        <v/>
      </c>
    </row>
    <row r="338">
      <c r="A338" s="13">
        <f>'Master Cleaned Data Pipeline'!A333</f>
        <v/>
      </c>
      <c r="B338" s="13">
        <f>'Master Cleaned Data Pipeline'!B333</f>
        <v/>
      </c>
      <c r="C338" s="14">
        <f>'Master Cleaned Data Pipeline'!I333</f>
        <v/>
      </c>
      <c r="D338" s="14">
        <f>'Master Cleaned Data Pipeline'!F333</f>
        <v/>
      </c>
      <c r="E338" s="15">
        <f>'Master Cleaned Data Pipeline'!G333</f>
        <v/>
      </c>
      <c r="F338" s="13">
        <f>IF(E338&gt;'Stats &amp; 3-Sigma Control Bounds'!$C$21, "🚨 ANOMALY SPIKE", IF(E338&lt;0, "💳 CREDIT", "NORMAL"))</f>
        <v/>
      </c>
      <c r="G338" s="16">
        <f>(E338-'Stats &amp; 3-Sigma Control Bounds'!$C$6)/'Stats &amp; 3-Sigma Control Bounds'!$C$9</f>
        <v/>
      </c>
      <c r="H338" s="14">
        <f>IF(F338="🚨 ANOMALY SPIKE", "IMMEDIATE ESCALATION TO ENGINEERING", IF(F338="💳 CREDIT", "AUDIT CREDIT ALLOCATION", "APPROVED USAGE"))</f>
        <v/>
      </c>
    </row>
    <row r="339">
      <c r="A339" s="13">
        <f>'Master Cleaned Data Pipeline'!A334</f>
        <v/>
      </c>
      <c r="B339" s="13">
        <f>'Master Cleaned Data Pipeline'!B334</f>
        <v/>
      </c>
      <c r="C339" s="14">
        <f>'Master Cleaned Data Pipeline'!I334</f>
        <v/>
      </c>
      <c r="D339" s="14">
        <f>'Master Cleaned Data Pipeline'!F334</f>
        <v/>
      </c>
      <c r="E339" s="15">
        <f>'Master Cleaned Data Pipeline'!G334</f>
        <v/>
      </c>
      <c r="F339" s="13">
        <f>IF(E339&gt;'Stats &amp; 3-Sigma Control Bounds'!$C$21, "🚨 ANOMALY SPIKE", IF(E339&lt;0, "💳 CREDIT", "NORMAL"))</f>
        <v/>
      </c>
      <c r="G339" s="16">
        <f>(E339-'Stats &amp; 3-Sigma Control Bounds'!$C$6)/'Stats &amp; 3-Sigma Control Bounds'!$C$9</f>
        <v/>
      </c>
      <c r="H339" s="14">
        <f>IF(F339="🚨 ANOMALY SPIKE", "IMMEDIATE ESCALATION TO ENGINEERING", IF(F339="💳 CREDIT", "AUDIT CREDIT ALLOCATION", "APPROVED USAGE"))</f>
        <v/>
      </c>
    </row>
    <row r="340">
      <c r="A340" s="13">
        <f>'Master Cleaned Data Pipeline'!A335</f>
        <v/>
      </c>
      <c r="B340" s="13">
        <f>'Master Cleaned Data Pipeline'!B335</f>
        <v/>
      </c>
      <c r="C340" s="14">
        <f>'Master Cleaned Data Pipeline'!I335</f>
        <v/>
      </c>
      <c r="D340" s="14">
        <f>'Master Cleaned Data Pipeline'!F335</f>
        <v/>
      </c>
      <c r="E340" s="15">
        <f>'Master Cleaned Data Pipeline'!G335</f>
        <v/>
      </c>
      <c r="F340" s="13">
        <f>IF(E340&gt;'Stats &amp; 3-Sigma Control Bounds'!$C$21, "🚨 ANOMALY SPIKE", IF(E340&lt;0, "💳 CREDIT", "NORMAL"))</f>
        <v/>
      </c>
      <c r="G340" s="16">
        <f>(E340-'Stats &amp; 3-Sigma Control Bounds'!$C$6)/'Stats &amp; 3-Sigma Control Bounds'!$C$9</f>
        <v/>
      </c>
      <c r="H340" s="14">
        <f>IF(F340="🚨 ANOMALY SPIKE", "IMMEDIATE ESCALATION TO ENGINEERING", IF(F340="💳 CREDIT", "AUDIT CREDIT ALLOCATION", "APPROVED USAGE"))</f>
        <v/>
      </c>
    </row>
    <row r="341">
      <c r="A341" s="13">
        <f>'Master Cleaned Data Pipeline'!A336</f>
        <v/>
      </c>
      <c r="B341" s="13">
        <f>'Master Cleaned Data Pipeline'!B336</f>
        <v/>
      </c>
      <c r="C341" s="14">
        <f>'Master Cleaned Data Pipeline'!I336</f>
        <v/>
      </c>
      <c r="D341" s="14">
        <f>'Master Cleaned Data Pipeline'!F336</f>
        <v/>
      </c>
      <c r="E341" s="15">
        <f>'Master Cleaned Data Pipeline'!G336</f>
        <v/>
      </c>
      <c r="F341" s="13">
        <f>IF(E341&gt;'Stats &amp; 3-Sigma Control Bounds'!$C$21, "🚨 ANOMALY SPIKE", IF(E341&lt;0, "💳 CREDIT", "NORMAL"))</f>
        <v/>
      </c>
      <c r="G341" s="16">
        <f>(E341-'Stats &amp; 3-Sigma Control Bounds'!$C$6)/'Stats &amp; 3-Sigma Control Bounds'!$C$9</f>
        <v/>
      </c>
      <c r="H341" s="14">
        <f>IF(F341="🚨 ANOMALY SPIKE", "IMMEDIATE ESCALATION TO ENGINEERING", IF(F341="💳 CREDIT", "AUDIT CREDIT ALLOCATION", "APPROVED USAGE"))</f>
        <v/>
      </c>
    </row>
    <row r="342">
      <c r="A342" s="13">
        <f>'Master Cleaned Data Pipeline'!A337</f>
        <v/>
      </c>
      <c r="B342" s="13">
        <f>'Master Cleaned Data Pipeline'!B337</f>
        <v/>
      </c>
      <c r="C342" s="14">
        <f>'Master Cleaned Data Pipeline'!I337</f>
        <v/>
      </c>
      <c r="D342" s="14">
        <f>'Master Cleaned Data Pipeline'!F337</f>
        <v/>
      </c>
      <c r="E342" s="15">
        <f>'Master Cleaned Data Pipeline'!G337</f>
        <v/>
      </c>
      <c r="F342" s="13">
        <f>IF(E342&gt;'Stats &amp; 3-Sigma Control Bounds'!$C$21, "🚨 ANOMALY SPIKE", IF(E342&lt;0, "💳 CREDIT", "NORMAL"))</f>
        <v/>
      </c>
      <c r="G342" s="16">
        <f>(E342-'Stats &amp; 3-Sigma Control Bounds'!$C$6)/'Stats &amp; 3-Sigma Control Bounds'!$C$9</f>
        <v/>
      </c>
      <c r="H342" s="14">
        <f>IF(F342="🚨 ANOMALY SPIKE", "IMMEDIATE ESCALATION TO ENGINEERING", IF(F342="💳 CREDIT", "AUDIT CREDIT ALLOCATION", "APPROVED USAGE"))</f>
        <v/>
      </c>
    </row>
    <row r="343">
      <c r="A343" s="13">
        <f>'Master Cleaned Data Pipeline'!A338</f>
        <v/>
      </c>
      <c r="B343" s="13">
        <f>'Master Cleaned Data Pipeline'!B338</f>
        <v/>
      </c>
      <c r="C343" s="14">
        <f>'Master Cleaned Data Pipeline'!I338</f>
        <v/>
      </c>
      <c r="D343" s="14">
        <f>'Master Cleaned Data Pipeline'!F338</f>
        <v/>
      </c>
      <c r="E343" s="15">
        <f>'Master Cleaned Data Pipeline'!G338</f>
        <v/>
      </c>
      <c r="F343" s="13">
        <f>IF(E343&gt;'Stats &amp; 3-Sigma Control Bounds'!$C$21, "🚨 ANOMALY SPIKE", IF(E343&lt;0, "💳 CREDIT", "NORMAL"))</f>
        <v/>
      </c>
      <c r="G343" s="16">
        <f>(E343-'Stats &amp; 3-Sigma Control Bounds'!$C$6)/'Stats &amp; 3-Sigma Control Bounds'!$C$9</f>
        <v/>
      </c>
      <c r="H343" s="14">
        <f>IF(F343="🚨 ANOMALY SPIKE", "IMMEDIATE ESCALATION TO ENGINEERING", IF(F343="💳 CREDIT", "AUDIT CREDIT ALLOCATION", "APPROVED USAGE"))</f>
        <v/>
      </c>
    </row>
    <row r="344">
      <c r="A344" s="13">
        <f>'Master Cleaned Data Pipeline'!A339</f>
        <v/>
      </c>
      <c r="B344" s="13">
        <f>'Master Cleaned Data Pipeline'!B339</f>
        <v/>
      </c>
      <c r="C344" s="14">
        <f>'Master Cleaned Data Pipeline'!I339</f>
        <v/>
      </c>
      <c r="D344" s="14">
        <f>'Master Cleaned Data Pipeline'!F339</f>
        <v/>
      </c>
      <c r="E344" s="15">
        <f>'Master Cleaned Data Pipeline'!G339</f>
        <v/>
      </c>
      <c r="F344" s="13">
        <f>IF(E344&gt;'Stats &amp; 3-Sigma Control Bounds'!$C$21, "🚨 ANOMALY SPIKE", IF(E344&lt;0, "💳 CREDIT", "NORMAL"))</f>
        <v/>
      </c>
      <c r="G344" s="16">
        <f>(E344-'Stats &amp; 3-Sigma Control Bounds'!$C$6)/'Stats &amp; 3-Sigma Control Bounds'!$C$9</f>
        <v/>
      </c>
      <c r="H344" s="14">
        <f>IF(F344="🚨 ANOMALY SPIKE", "IMMEDIATE ESCALATION TO ENGINEERING", IF(F344="💳 CREDIT", "AUDIT CREDIT ALLOCATION", "APPROVED USAGE"))</f>
        <v/>
      </c>
    </row>
    <row r="345">
      <c r="A345" s="13">
        <f>'Master Cleaned Data Pipeline'!A340</f>
        <v/>
      </c>
      <c r="B345" s="13">
        <f>'Master Cleaned Data Pipeline'!B340</f>
        <v/>
      </c>
      <c r="C345" s="14">
        <f>'Master Cleaned Data Pipeline'!I340</f>
        <v/>
      </c>
      <c r="D345" s="14">
        <f>'Master Cleaned Data Pipeline'!F340</f>
        <v/>
      </c>
      <c r="E345" s="15">
        <f>'Master Cleaned Data Pipeline'!G340</f>
        <v/>
      </c>
      <c r="F345" s="13">
        <f>IF(E345&gt;'Stats &amp; 3-Sigma Control Bounds'!$C$21, "🚨 ANOMALY SPIKE", IF(E345&lt;0, "💳 CREDIT", "NORMAL"))</f>
        <v/>
      </c>
      <c r="G345" s="16">
        <f>(E345-'Stats &amp; 3-Sigma Control Bounds'!$C$6)/'Stats &amp; 3-Sigma Control Bounds'!$C$9</f>
        <v/>
      </c>
      <c r="H345" s="14">
        <f>IF(F345="🚨 ANOMALY SPIKE", "IMMEDIATE ESCALATION TO ENGINEERING", IF(F345="💳 CREDIT", "AUDIT CREDIT ALLOCATION", "APPROVED USAGE"))</f>
        <v/>
      </c>
    </row>
    <row r="346">
      <c r="A346" s="13">
        <f>'Master Cleaned Data Pipeline'!A341</f>
        <v/>
      </c>
      <c r="B346" s="13">
        <f>'Master Cleaned Data Pipeline'!B341</f>
        <v/>
      </c>
      <c r="C346" s="14">
        <f>'Master Cleaned Data Pipeline'!I341</f>
        <v/>
      </c>
      <c r="D346" s="14">
        <f>'Master Cleaned Data Pipeline'!F341</f>
        <v/>
      </c>
      <c r="E346" s="15">
        <f>'Master Cleaned Data Pipeline'!G341</f>
        <v/>
      </c>
      <c r="F346" s="13">
        <f>IF(E346&gt;'Stats &amp; 3-Sigma Control Bounds'!$C$21, "🚨 ANOMALY SPIKE", IF(E346&lt;0, "💳 CREDIT", "NORMAL"))</f>
        <v/>
      </c>
      <c r="G346" s="16">
        <f>(E346-'Stats &amp; 3-Sigma Control Bounds'!$C$6)/'Stats &amp; 3-Sigma Control Bounds'!$C$9</f>
        <v/>
      </c>
      <c r="H346" s="14">
        <f>IF(F346="🚨 ANOMALY SPIKE", "IMMEDIATE ESCALATION TO ENGINEERING", IF(F346="💳 CREDIT", "AUDIT CREDIT ALLOCATION", "APPROVED USAGE"))</f>
        <v/>
      </c>
    </row>
    <row r="347">
      <c r="A347" s="13">
        <f>'Master Cleaned Data Pipeline'!A342</f>
        <v/>
      </c>
      <c r="B347" s="13">
        <f>'Master Cleaned Data Pipeline'!B342</f>
        <v/>
      </c>
      <c r="C347" s="14">
        <f>'Master Cleaned Data Pipeline'!I342</f>
        <v/>
      </c>
      <c r="D347" s="14">
        <f>'Master Cleaned Data Pipeline'!F342</f>
        <v/>
      </c>
      <c r="E347" s="15">
        <f>'Master Cleaned Data Pipeline'!G342</f>
        <v/>
      </c>
      <c r="F347" s="13">
        <f>IF(E347&gt;'Stats &amp; 3-Sigma Control Bounds'!$C$21, "🚨 ANOMALY SPIKE", IF(E347&lt;0, "💳 CREDIT", "NORMAL"))</f>
        <v/>
      </c>
      <c r="G347" s="16">
        <f>(E347-'Stats &amp; 3-Sigma Control Bounds'!$C$6)/'Stats &amp; 3-Sigma Control Bounds'!$C$9</f>
        <v/>
      </c>
      <c r="H347" s="14">
        <f>IF(F347="🚨 ANOMALY SPIKE", "IMMEDIATE ESCALATION TO ENGINEERING", IF(F347="💳 CREDIT", "AUDIT CREDIT ALLOCATION", "APPROVED USAGE"))</f>
        <v/>
      </c>
    </row>
    <row r="348">
      <c r="A348" s="13">
        <f>'Master Cleaned Data Pipeline'!A343</f>
        <v/>
      </c>
      <c r="B348" s="13">
        <f>'Master Cleaned Data Pipeline'!B343</f>
        <v/>
      </c>
      <c r="C348" s="14">
        <f>'Master Cleaned Data Pipeline'!I343</f>
        <v/>
      </c>
      <c r="D348" s="14">
        <f>'Master Cleaned Data Pipeline'!F343</f>
        <v/>
      </c>
      <c r="E348" s="15">
        <f>'Master Cleaned Data Pipeline'!G343</f>
        <v/>
      </c>
      <c r="F348" s="13">
        <f>IF(E348&gt;'Stats &amp; 3-Sigma Control Bounds'!$C$21, "🚨 ANOMALY SPIKE", IF(E348&lt;0, "💳 CREDIT", "NORMAL"))</f>
        <v/>
      </c>
      <c r="G348" s="16">
        <f>(E348-'Stats &amp; 3-Sigma Control Bounds'!$C$6)/'Stats &amp; 3-Sigma Control Bounds'!$C$9</f>
        <v/>
      </c>
      <c r="H348" s="14">
        <f>IF(F348="🚨 ANOMALY SPIKE", "IMMEDIATE ESCALATION TO ENGINEERING", IF(F348="💳 CREDIT", "AUDIT CREDIT ALLOCATION", "APPROVED USAGE"))</f>
        <v/>
      </c>
    </row>
    <row r="349">
      <c r="A349" s="13">
        <f>'Master Cleaned Data Pipeline'!A344</f>
        <v/>
      </c>
      <c r="B349" s="13">
        <f>'Master Cleaned Data Pipeline'!B344</f>
        <v/>
      </c>
      <c r="C349" s="14">
        <f>'Master Cleaned Data Pipeline'!I344</f>
        <v/>
      </c>
      <c r="D349" s="14">
        <f>'Master Cleaned Data Pipeline'!F344</f>
        <v/>
      </c>
      <c r="E349" s="15">
        <f>'Master Cleaned Data Pipeline'!G344</f>
        <v/>
      </c>
      <c r="F349" s="13">
        <f>IF(E349&gt;'Stats &amp; 3-Sigma Control Bounds'!$C$21, "🚨 ANOMALY SPIKE", IF(E349&lt;0, "💳 CREDIT", "NORMAL"))</f>
        <v/>
      </c>
      <c r="G349" s="16">
        <f>(E349-'Stats &amp; 3-Sigma Control Bounds'!$C$6)/'Stats &amp; 3-Sigma Control Bounds'!$C$9</f>
        <v/>
      </c>
      <c r="H349" s="14">
        <f>IF(F349="🚨 ANOMALY SPIKE", "IMMEDIATE ESCALATION TO ENGINEERING", IF(F349="💳 CREDIT", "AUDIT CREDIT ALLOCATION", "APPROVED USAGE"))</f>
        <v/>
      </c>
    </row>
    <row r="350">
      <c r="A350" s="13">
        <f>'Master Cleaned Data Pipeline'!A345</f>
        <v/>
      </c>
      <c r="B350" s="13">
        <f>'Master Cleaned Data Pipeline'!B345</f>
        <v/>
      </c>
      <c r="C350" s="14">
        <f>'Master Cleaned Data Pipeline'!I345</f>
        <v/>
      </c>
      <c r="D350" s="14">
        <f>'Master Cleaned Data Pipeline'!F345</f>
        <v/>
      </c>
      <c r="E350" s="15">
        <f>'Master Cleaned Data Pipeline'!G345</f>
        <v/>
      </c>
      <c r="F350" s="13">
        <f>IF(E350&gt;'Stats &amp; 3-Sigma Control Bounds'!$C$21, "🚨 ANOMALY SPIKE", IF(E350&lt;0, "💳 CREDIT", "NORMAL"))</f>
        <v/>
      </c>
      <c r="G350" s="16">
        <f>(E350-'Stats &amp; 3-Sigma Control Bounds'!$C$6)/'Stats &amp; 3-Sigma Control Bounds'!$C$9</f>
        <v/>
      </c>
      <c r="H350" s="14">
        <f>IF(F350="🚨 ANOMALY SPIKE", "IMMEDIATE ESCALATION TO ENGINEERING", IF(F350="💳 CREDIT", "AUDIT CREDIT ALLOCATION", "APPROVED USAGE"))</f>
        <v/>
      </c>
    </row>
    <row r="351">
      <c r="A351" s="13">
        <f>'Master Cleaned Data Pipeline'!A346</f>
        <v/>
      </c>
      <c r="B351" s="13">
        <f>'Master Cleaned Data Pipeline'!B346</f>
        <v/>
      </c>
      <c r="C351" s="14">
        <f>'Master Cleaned Data Pipeline'!I346</f>
        <v/>
      </c>
      <c r="D351" s="14">
        <f>'Master Cleaned Data Pipeline'!F346</f>
        <v/>
      </c>
      <c r="E351" s="15">
        <f>'Master Cleaned Data Pipeline'!G346</f>
        <v/>
      </c>
      <c r="F351" s="13">
        <f>IF(E351&gt;'Stats &amp; 3-Sigma Control Bounds'!$C$21, "🚨 ANOMALY SPIKE", IF(E351&lt;0, "💳 CREDIT", "NORMAL"))</f>
        <v/>
      </c>
      <c r="G351" s="16">
        <f>(E351-'Stats &amp; 3-Sigma Control Bounds'!$C$6)/'Stats &amp; 3-Sigma Control Bounds'!$C$9</f>
        <v/>
      </c>
      <c r="H351" s="14">
        <f>IF(F351="🚨 ANOMALY SPIKE", "IMMEDIATE ESCALATION TO ENGINEERING", IF(F351="💳 CREDIT", "AUDIT CREDIT ALLOCATION", "APPROVED USAGE"))</f>
        <v/>
      </c>
    </row>
    <row r="352">
      <c r="A352" s="13">
        <f>'Master Cleaned Data Pipeline'!A347</f>
        <v/>
      </c>
      <c r="B352" s="13">
        <f>'Master Cleaned Data Pipeline'!B347</f>
        <v/>
      </c>
      <c r="C352" s="14">
        <f>'Master Cleaned Data Pipeline'!I347</f>
        <v/>
      </c>
      <c r="D352" s="14">
        <f>'Master Cleaned Data Pipeline'!F347</f>
        <v/>
      </c>
      <c r="E352" s="15">
        <f>'Master Cleaned Data Pipeline'!G347</f>
        <v/>
      </c>
      <c r="F352" s="13">
        <f>IF(E352&gt;'Stats &amp; 3-Sigma Control Bounds'!$C$21, "🚨 ANOMALY SPIKE", IF(E352&lt;0, "💳 CREDIT", "NORMAL"))</f>
        <v/>
      </c>
      <c r="G352" s="16">
        <f>(E352-'Stats &amp; 3-Sigma Control Bounds'!$C$6)/'Stats &amp; 3-Sigma Control Bounds'!$C$9</f>
        <v/>
      </c>
      <c r="H352" s="14">
        <f>IF(F352="🚨 ANOMALY SPIKE", "IMMEDIATE ESCALATION TO ENGINEERING", IF(F352="💳 CREDIT", "AUDIT CREDIT ALLOCATION", "APPROVED USAGE"))</f>
        <v/>
      </c>
    </row>
    <row r="353">
      <c r="A353" s="13">
        <f>'Master Cleaned Data Pipeline'!A348</f>
        <v/>
      </c>
      <c r="B353" s="13">
        <f>'Master Cleaned Data Pipeline'!B348</f>
        <v/>
      </c>
      <c r="C353" s="14">
        <f>'Master Cleaned Data Pipeline'!I348</f>
        <v/>
      </c>
      <c r="D353" s="14">
        <f>'Master Cleaned Data Pipeline'!F348</f>
        <v/>
      </c>
      <c r="E353" s="15">
        <f>'Master Cleaned Data Pipeline'!G348</f>
        <v/>
      </c>
      <c r="F353" s="13">
        <f>IF(E353&gt;'Stats &amp; 3-Sigma Control Bounds'!$C$21, "🚨 ANOMALY SPIKE", IF(E353&lt;0, "💳 CREDIT", "NORMAL"))</f>
        <v/>
      </c>
      <c r="G353" s="16">
        <f>(E353-'Stats &amp; 3-Sigma Control Bounds'!$C$6)/'Stats &amp; 3-Sigma Control Bounds'!$C$9</f>
        <v/>
      </c>
      <c r="H353" s="14">
        <f>IF(F353="🚨 ANOMALY SPIKE", "IMMEDIATE ESCALATION TO ENGINEERING", IF(F353="💳 CREDIT", "AUDIT CREDIT ALLOCATION", "APPROVED USAGE"))</f>
        <v/>
      </c>
    </row>
    <row r="354">
      <c r="A354" s="13">
        <f>'Master Cleaned Data Pipeline'!A349</f>
        <v/>
      </c>
      <c r="B354" s="13">
        <f>'Master Cleaned Data Pipeline'!B349</f>
        <v/>
      </c>
      <c r="C354" s="14">
        <f>'Master Cleaned Data Pipeline'!I349</f>
        <v/>
      </c>
      <c r="D354" s="14">
        <f>'Master Cleaned Data Pipeline'!F349</f>
        <v/>
      </c>
      <c r="E354" s="15">
        <f>'Master Cleaned Data Pipeline'!G349</f>
        <v/>
      </c>
      <c r="F354" s="13">
        <f>IF(E354&gt;'Stats &amp; 3-Sigma Control Bounds'!$C$21, "🚨 ANOMALY SPIKE", IF(E354&lt;0, "💳 CREDIT", "NORMAL"))</f>
        <v/>
      </c>
      <c r="G354" s="16">
        <f>(E354-'Stats &amp; 3-Sigma Control Bounds'!$C$6)/'Stats &amp; 3-Sigma Control Bounds'!$C$9</f>
        <v/>
      </c>
      <c r="H354" s="14">
        <f>IF(F354="🚨 ANOMALY SPIKE", "IMMEDIATE ESCALATION TO ENGINEERING", IF(F354="💳 CREDIT", "AUDIT CREDIT ALLOCATION", "APPROVED USAGE"))</f>
        <v/>
      </c>
    </row>
    <row r="355">
      <c r="A355" s="13">
        <f>'Master Cleaned Data Pipeline'!A350</f>
        <v/>
      </c>
      <c r="B355" s="13">
        <f>'Master Cleaned Data Pipeline'!B350</f>
        <v/>
      </c>
      <c r="C355" s="14">
        <f>'Master Cleaned Data Pipeline'!I350</f>
        <v/>
      </c>
      <c r="D355" s="14">
        <f>'Master Cleaned Data Pipeline'!F350</f>
        <v/>
      </c>
      <c r="E355" s="15">
        <f>'Master Cleaned Data Pipeline'!G350</f>
        <v/>
      </c>
      <c r="F355" s="13">
        <f>IF(E355&gt;'Stats &amp; 3-Sigma Control Bounds'!$C$21, "🚨 ANOMALY SPIKE", IF(E355&lt;0, "💳 CREDIT", "NORMAL"))</f>
        <v/>
      </c>
      <c r="G355" s="16">
        <f>(E355-'Stats &amp; 3-Sigma Control Bounds'!$C$6)/'Stats &amp; 3-Sigma Control Bounds'!$C$9</f>
        <v/>
      </c>
      <c r="H355" s="14">
        <f>IF(F355="🚨 ANOMALY SPIKE", "IMMEDIATE ESCALATION TO ENGINEERING", IF(F355="💳 CREDIT", "AUDIT CREDIT ALLOCATION", "APPROVED USAGE"))</f>
        <v/>
      </c>
    </row>
    <row r="356">
      <c r="A356" s="13">
        <f>'Master Cleaned Data Pipeline'!A351</f>
        <v/>
      </c>
      <c r="B356" s="13">
        <f>'Master Cleaned Data Pipeline'!B351</f>
        <v/>
      </c>
      <c r="C356" s="14">
        <f>'Master Cleaned Data Pipeline'!I351</f>
        <v/>
      </c>
      <c r="D356" s="14">
        <f>'Master Cleaned Data Pipeline'!F351</f>
        <v/>
      </c>
      <c r="E356" s="15">
        <f>'Master Cleaned Data Pipeline'!G351</f>
        <v/>
      </c>
      <c r="F356" s="13">
        <f>IF(E356&gt;'Stats &amp; 3-Sigma Control Bounds'!$C$21, "🚨 ANOMALY SPIKE", IF(E356&lt;0, "💳 CREDIT", "NORMAL"))</f>
        <v/>
      </c>
      <c r="G356" s="16">
        <f>(E356-'Stats &amp; 3-Sigma Control Bounds'!$C$6)/'Stats &amp; 3-Sigma Control Bounds'!$C$9</f>
        <v/>
      </c>
      <c r="H356" s="14">
        <f>IF(F356="🚨 ANOMALY SPIKE", "IMMEDIATE ESCALATION TO ENGINEERING", IF(F356="💳 CREDIT", "AUDIT CREDIT ALLOCATION", "APPROVED USAGE"))</f>
        <v/>
      </c>
    </row>
    <row r="357">
      <c r="A357" s="13">
        <f>'Master Cleaned Data Pipeline'!A352</f>
        <v/>
      </c>
      <c r="B357" s="13">
        <f>'Master Cleaned Data Pipeline'!B352</f>
        <v/>
      </c>
      <c r="C357" s="14">
        <f>'Master Cleaned Data Pipeline'!I352</f>
        <v/>
      </c>
      <c r="D357" s="14">
        <f>'Master Cleaned Data Pipeline'!F352</f>
        <v/>
      </c>
      <c r="E357" s="15">
        <f>'Master Cleaned Data Pipeline'!G352</f>
        <v/>
      </c>
      <c r="F357" s="13">
        <f>IF(E357&gt;'Stats &amp; 3-Sigma Control Bounds'!$C$21, "🚨 ANOMALY SPIKE", IF(E357&lt;0, "💳 CREDIT", "NORMAL"))</f>
        <v/>
      </c>
      <c r="G357" s="16">
        <f>(E357-'Stats &amp; 3-Sigma Control Bounds'!$C$6)/'Stats &amp; 3-Sigma Control Bounds'!$C$9</f>
        <v/>
      </c>
      <c r="H357" s="14">
        <f>IF(F357="🚨 ANOMALY SPIKE", "IMMEDIATE ESCALATION TO ENGINEERING", IF(F357="💳 CREDIT", "AUDIT CREDIT ALLOCATION", "APPROVED USAGE"))</f>
        <v/>
      </c>
    </row>
    <row r="358">
      <c r="A358" s="13">
        <f>'Master Cleaned Data Pipeline'!A353</f>
        <v/>
      </c>
      <c r="B358" s="13">
        <f>'Master Cleaned Data Pipeline'!B353</f>
        <v/>
      </c>
      <c r="C358" s="14">
        <f>'Master Cleaned Data Pipeline'!I353</f>
        <v/>
      </c>
      <c r="D358" s="14">
        <f>'Master Cleaned Data Pipeline'!F353</f>
        <v/>
      </c>
      <c r="E358" s="15">
        <f>'Master Cleaned Data Pipeline'!G353</f>
        <v/>
      </c>
      <c r="F358" s="13">
        <f>IF(E358&gt;'Stats &amp; 3-Sigma Control Bounds'!$C$21, "🚨 ANOMALY SPIKE", IF(E358&lt;0, "💳 CREDIT", "NORMAL"))</f>
        <v/>
      </c>
      <c r="G358" s="16">
        <f>(E358-'Stats &amp; 3-Sigma Control Bounds'!$C$6)/'Stats &amp; 3-Sigma Control Bounds'!$C$9</f>
        <v/>
      </c>
      <c r="H358" s="14">
        <f>IF(F358="🚨 ANOMALY SPIKE", "IMMEDIATE ESCALATION TO ENGINEERING", IF(F358="💳 CREDIT", "AUDIT CREDIT ALLOCATION", "APPROVED USAGE"))</f>
        <v/>
      </c>
    </row>
    <row r="359">
      <c r="A359" s="13">
        <f>'Master Cleaned Data Pipeline'!A354</f>
        <v/>
      </c>
      <c r="B359" s="13">
        <f>'Master Cleaned Data Pipeline'!B354</f>
        <v/>
      </c>
      <c r="C359" s="14">
        <f>'Master Cleaned Data Pipeline'!I354</f>
        <v/>
      </c>
      <c r="D359" s="14">
        <f>'Master Cleaned Data Pipeline'!F354</f>
        <v/>
      </c>
      <c r="E359" s="15">
        <f>'Master Cleaned Data Pipeline'!G354</f>
        <v/>
      </c>
      <c r="F359" s="13">
        <f>IF(E359&gt;'Stats &amp; 3-Sigma Control Bounds'!$C$21, "🚨 ANOMALY SPIKE", IF(E359&lt;0, "💳 CREDIT", "NORMAL"))</f>
        <v/>
      </c>
      <c r="G359" s="16">
        <f>(E359-'Stats &amp; 3-Sigma Control Bounds'!$C$6)/'Stats &amp; 3-Sigma Control Bounds'!$C$9</f>
        <v/>
      </c>
      <c r="H359" s="14">
        <f>IF(F359="🚨 ANOMALY SPIKE", "IMMEDIATE ESCALATION TO ENGINEERING", IF(F359="💳 CREDIT", "AUDIT CREDIT ALLOCATION", "APPROVED USAGE"))</f>
        <v/>
      </c>
    </row>
    <row r="360">
      <c r="A360" s="13">
        <f>'Master Cleaned Data Pipeline'!A355</f>
        <v/>
      </c>
      <c r="B360" s="13">
        <f>'Master Cleaned Data Pipeline'!B355</f>
        <v/>
      </c>
      <c r="C360" s="14">
        <f>'Master Cleaned Data Pipeline'!I355</f>
        <v/>
      </c>
      <c r="D360" s="14">
        <f>'Master Cleaned Data Pipeline'!F355</f>
        <v/>
      </c>
      <c r="E360" s="15">
        <f>'Master Cleaned Data Pipeline'!G355</f>
        <v/>
      </c>
      <c r="F360" s="13">
        <f>IF(E360&gt;'Stats &amp; 3-Sigma Control Bounds'!$C$21, "🚨 ANOMALY SPIKE", IF(E360&lt;0, "💳 CREDIT", "NORMAL"))</f>
        <v/>
      </c>
      <c r="G360" s="16">
        <f>(E360-'Stats &amp; 3-Sigma Control Bounds'!$C$6)/'Stats &amp; 3-Sigma Control Bounds'!$C$9</f>
        <v/>
      </c>
      <c r="H360" s="14">
        <f>IF(F360="🚨 ANOMALY SPIKE", "IMMEDIATE ESCALATION TO ENGINEERING", IF(F360="💳 CREDIT", "AUDIT CREDIT ALLOCATION", "APPROVED USAGE"))</f>
        <v/>
      </c>
    </row>
    <row r="361">
      <c r="A361" s="13">
        <f>'Master Cleaned Data Pipeline'!A356</f>
        <v/>
      </c>
      <c r="B361" s="13">
        <f>'Master Cleaned Data Pipeline'!B356</f>
        <v/>
      </c>
      <c r="C361" s="14">
        <f>'Master Cleaned Data Pipeline'!I356</f>
        <v/>
      </c>
      <c r="D361" s="14">
        <f>'Master Cleaned Data Pipeline'!F356</f>
        <v/>
      </c>
      <c r="E361" s="15">
        <f>'Master Cleaned Data Pipeline'!G356</f>
        <v/>
      </c>
      <c r="F361" s="13">
        <f>IF(E361&gt;'Stats &amp; 3-Sigma Control Bounds'!$C$21, "🚨 ANOMALY SPIKE", IF(E361&lt;0, "💳 CREDIT", "NORMAL"))</f>
        <v/>
      </c>
      <c r="G361" s="16">
        <f>(E361-'Stats &amp; 3-Sigma Control Bounds'!$C$6)/'Stats &amp; 3-Sigma Control Bounds'!$C$9</f>
        <v/>
      </c>
      <c r="H361" s="14">
        <f>IF(F361="🚨 ANOMALY SPIKE", "IMMEDIATE ESCALATION TO ENGINEERING", IF(F361="💳 CREDIT", "AUDIT CREDIT ALLOCATION", "APPROVED USAGE"))</f>
        <v/>
      </c>
    </row>
    <row r="362">
      <c r="A362" s="13">
        <f>'Master Cleaned Data Pipeline'!A357</f>
        <v/>
      </c>
      <c r="B362" s="13">
        <f>'Master Cleaned Data Pipeline'!B357</f>
        <v/>
      </c>
      <c r="C362" s="14">
        <f>'Master Cleaned Data Pipeline'!I357</f>
        <v/>
      </c>
      <c r="D362" s="14">
        <f>'Master Cleaned Data Pipeline'!F357</f>
        <v/>
      </c>
      <c r="E362" s="15">
        <f>'Master Cleaned Data Pipeline'!G357</f>
        <v/>
      </c>
      <c r="F362" s="13">
        <f>IF(E362&gt;'Stats &amp; 3-Sigma Control Bounds'!$C$21, "🚨 ANOMALY SPIKE", IF(E362&lt;0, "💳 CREDIT", "NORMAL"))</f>
        <v/>
      </c>
      <c r="G362" s="16">
        <f>(E362-'Stats &amp; 3-Sigma Control Bounds'!$C$6)/'Stats &amp; 3-Sigma Control Bounds'!$C$9</f>
        <v/>
      </c>
      <c r="H362" s="14">
        <f>IF(F362="🚨 ANOMALY SPIKE", "IMMEDIATE ESCALATION TO ENGINEERING", IF(F362="💳 CREDIT", "AUDIT CREDIT ALLOCATION", "APPROVED USAGE"))</f>
        <v/>
      </c>
    </row>
    <row r="363">
      <c r="A363" s="13">
        <f>'Master Cleaned Data Pipeline'!A358</f>
        <v/>
      </c>
      <c r="B363" s="13">
        <f>'Master Cleaned Data Pipeline'!B358</f>
        <v/>
      </c>
      <c r="C363" s="14">
        <f>'Master Cleaned Data Pipeline'!I358</f>
        <v/>
      </c>
      <c r="D363" s="14">
        <f>'Master Cleaned Data Pipeline'!F358</f>
        <v/>
      </c>
      <c r="E363" s="15">
        <f>'Master Cleaned Data Pipeline'!G358</f>
        <v/>
      </c>
      <c r="F363" s="13">
        <f>IF(E363&gt;'Stats &amp; 3-Sigma Control Bounds'!$C$21, "🚨 ANOMALY SPIKE", IF(E363&lt;0, "💳 CREDIT", "NORMAL"))</f>
        <v/>
      </c>
      <c r="G363" s="16">
        <f>(E363-'Stats &amp; 3-Sigma Control Bounds'!$C$6)/'Stats &amp; 3-Sigma Control Bounds'!$C$9</f>
        <v/>
      </c>
      <c r="H363" s="14">
        <f>IF(F363="🚨 ANOMALY SPIKE", "IMMEDIATE ESCALATION TO ENGINEERING", IF(F363="💳 CREDIT", "AUDIT CREDIT ALLOCATION", "APPROVED USAGE"))</f>
        <v/>
      </c>
    </row>
    <row r="364">
      <c r="A364" s="13">
        <f>'Master Cleaned Data Pipeline'!A359</f>
        <v/>
      </c>
      <c r="B364" s="13">
        <f>'Master Cleaned Data Pipeline'!B359</f>
        <v/>
      </c>
      <c r="C364" s="14">
        <f>'Master Cleaned Data Pipeline'!I359</f>
        <v/>
      </c>
      <c r="D364" s="14">
        <f>'Master Cleaned Data Pipeline'!F359</f>
        <v/>
      </c>
      <c r="E364" s="15">
        <f>'Master Cleaned Data Pipeline'!G359</f>
        <v/>
      </c>
      <c r="F364" s="13">
        <f>IF(E364&gt;'Stats &amp; 3-Sigma Control Bounds'!$C$21, "🚨 ANOMALY SPIKE", IF(E364&lt;0, "💳 CREDIT", "NORMAL"))</f>
        <v/>
      </c>
      <c r="G364" s="16">
        <f>(E364-'Stats &amp; 3-Sigma Control Bounds'!$C$6)/'Stats &amp; 3-Sigma Control Bounds'!$C$9</f>
        <v/>
      </c>
      <c r="H364" s="14">
        <f>IF(F364="🚨 ANOMALY SPIKE", "IMMEDIATE ESCALATION TO ENGINEERING", IF(F364="💳 CREDIT", "AUDIT CREDIT ALLOCATION", "APPROVED USAGE"))</f>
        <v/>
      </c>
    </row>
    <row r="365">
      <c r="A365" s="13">
        <f>'Master Cleaned Data Pipeline'!A360</f>
        <v/>
      </c>
      <c r="B365" s="13">
        <f>'Master Cleaned Data Pipeline'!B360</f>
        <v/>
      </c>
      <c r="C365" s="14">
        <f>'Master Cleaned Data Pipeline'!I360</f>
        <v/>
      </c>
      <c r="D365" s="14">
        <f>'Master Cleaned Data Pipeline'!F360</f>
        <v/>
      </c>
      <c r="E365" s="15">
        <f>'Master Cleaned Data Pipeline'!G360</f>
        <v/>
      </c>
      <c r="F365" s="13">
        <f>IF(E365&gt;'Stats &amp; 3-Sigma Control Bounds'!$C$21, "🚨 ANOMALY SPIKE", IF(E365&lt;0, "💳 CREDIT", "NORMAL"))</f>
        <v/>
      </c>
      <c r="G365" s="16">
        <f>(E365-'Stats &amp; 3-Sigma Control Bounds'!$C$6)/'Stats &amp; 3-Sigma Control Bounds'!$C$9</f>
        <v/>
      </c>
      <c r="H365" s="14">
        <f>IF(F365="🚨 ANOMALY SPIKE", "IMMEDIATE ESCALATION TO ENGINEERING", IF(F365="💳 CREDIT", "AUDIT CREDIT ALLOCATION", "APPROVED USAGE"))</f>
        <v/>
      </c>
    </row>
    <row r="366">
      <c r="A366" s="13">
        <f>'Master Cleaned Data Pipeline'!A361</f>
        <v/>
      </c>
      <c r="B366" s="13">
        <f>'Master Cleaned Data Pipeline'!B361</f>
        <v/>
      </c>
      <c r="C366" s="14">
        <f>'Master Cleaned Data Pipeline'!I361</f>
        <v/>
      </c>
      <c r="D366" s="14">
        <f>'Master Cleaned Data Pipeline'!F361</f>
        <v/>
      </c>
      <c r="E366" s="15">
        <f>'Master Cleaned Data Pipeline'!G361</f>
        <v/>
      </c>
      <c r="F366" s="13">
        <f>IF(E366&gt;'Stats &amp; 3-Sigma Control Bounds'!$C$21, "🚨 ANOMALY SPIKE", IF(E366&lt;0, "💳 CREDIT", "NORMAL"))</f>
        <v/>
      </c>
      <c r="G366" s="16">
        <f>(E366-'Stats &amp; 3-Sigma Control Bounds'!$C$6)/'Stats &amp; 3-Sigma Control Bounds'!$C$9</f>
        <v/>
      </c>
      <c r="H366" s="14">
        <f>IF(F366="🚨 ANOMALY SPIKE", "IMMEDIATE ESCALATION TO ENGINEERING", IF(F366="💳 CREDIT", "AUDIT CREDIT ALLOCATION", "APPROVED USAGE"))</f>
        <v/>
      </c>
    </row>
    <row r="367">
      <c r="A367" s="13">
        <f>'Master Cleaned Data Pipeline'!A362</f>
        <v/>
      </c>
      <c r="B367" s="13">
        <f>'Master Cleaned Data Pipeline'!B362</f>
        <v/>
      </c>
      <c r="C367" s="14">
        <f>'Master Cleaned Data Pipeline'!I362</f>
        <v/>
      </c>
      <c r="D367" s="14">
        <f>'Master Cleaned Data Pipeline'!F362</f>
        <v/>
      </c>
      <c r="E367" s="15">
        <f>'Master Cleaned Data Pipeline'!G362</f>
        <v/>
      </c>
      <c r="F367" s="13">
        <f>IF(E367&gt;'Stats &amp; 3-Sigma Control Bounds'!$C$21, "🚨 ANOMALY SPIKE", IF(E367&lt;0, "💳 CREDIT", "NORMAL"))</f>
        <v/>
      </c>
      <c r="G367" s="16">
        <f>(E367-'Stats &amp; 3-Sigma Control Bounds'!$C$6)/'Stats &amp; 3-Sigma Control Bounds'!$C$9</f>
        <v/>
      </c>
      <c r="H367" s="14">
        <f>IF(F367="🚨 ANOMALY SPIKE", "IMMEDIATE ESCALATION TO ENGINEERING", IF(F367="💳 CREDIT", "AUDIT CREDIT ALLOCATION", "APPROVED USAGE"))</f>
        <v/>
      </c>
    </row>
    <row r="368">
      <c r="A368" s="13">
        <f>'Master Cleaned Data Pipeline'!A363</f>
        <v/>
      </c>
      <c r="B368" s="13">
        <f>'Master Cleaned Data Pipeline'!B363</f>
        <v/>
      </c>
      <c r="C368" s="14">
        <f>'Master Cleaned Data Pipeline'!I363</f>
        <v/>
      </c>
      <c r="D368" s="14">
        <f>'Master Cleaned Data Pipeline'!F363</f>
        <v/>
      </c>
      <c r="E368" s="15">
        <f>'Master Cleaned Data Pipeline'!G363</f>
        <v/>
      </c>
      <c r="F368" s="13">
        <f>IF(E368&gt;'Stats &amp; 3-Sigma Control Bounds'!$C$21, "🚨 ANOMALY SPIKE", IF(E368&lt;0, "💳 CREDIT", "NORMAL"))</f>
        <v/>
      </c>
      <c r="G368" s="16">
        <f>(E368-'Stats &amp; 3-Sigma Control Bounds'!$C$6)/'Stats &amp; 3-Sigma Control Bounds'!$C$9</f>
        <v/>
      </c>
      <c r="H368" s="14">
        <f>IF(F368="🚨 ANOMALY SPIKE", "IMMEDIATE ESCALATION TO ENGINEERING", IF(F368="💳 CREDIT", "AUDIT CREDIT ALLOCATION", "APPROVED USAGE"))</f>
        <v/>
      </c>
    </row>
    <row r="369">
      <c r="A369" s="13">
        <f>'Master Cleaned Data Pipeline'!A364</f>
        <v/>
      </c>
      <c r="B369" s="13">
        <f>'Master Cleaned Data Pipeline'!B364</f>
        <v/>
      </c>
      <c r="C369" s="14">
        <f>'Master Cleaned Data Pipeline'!I364</f>
        <v/>
      </c>
      <c r="D369" s="14">
        <f>'Master Cleaned Data Pipeline'!F364</f>
        <v/>
      </c>
      <c r="E369" s="15">
        <f>'Master Cleaned Data Pipeline'!G364</f>
        <v/>
      </c>
      <c r="F369" s="13">
        <f>IF(E369&gt;'Stats &amp; 3-Sigma Control Bounds'!$C$21, "🚨 ANOMALY SPIKE", IF(E369&lt;0, "💳 CREDIT", "NORMAL"))</f>
        <v/>
      </c>
      <c r="G369" s="16">
        <f>(E369-'Stats &amp; 3-Sigma Control Bounds'!$C$6)/'Stats &amp; 3-Sigma Control Bounds'!$C$9</f>
        <v/>
      </c>
      <c r="H369" s="14">
        <f>IF(F369="🚨 ANOMALY SPIKE", "IMMEDIATE ESCALATION TO ENGINEERING", IF(F369="💳 CREDIT", "AUDIT CREDIT ALLOCATION", "APPROVED USAGE"))</f>
        <v/>
      </c>
    </row>
    <row r="370">
      <c r="A370" s="13">
        <f>'Master Cleaned Data Pipeline'!A365</f>
        <v/>
      </c>
      <c r="B370" s="13">
        <f>'Master Cleaned Data Pipeline'!B365</f>
        <v/>
      </c>
      <c r="C370" s="14">
        <f>'Master Cleaned Data Pipeline'!I365</f>
        <v/>
      </c>
      <c r="D370" s="14">
        <f>'Master Cleaned Data Pipeline'!F365</f>
        <v/>
      </c>
      <c r="E370" s="15">
        <f>'Master Cleaned Data Pipeline'!G365</f>
        <v/>
      </c>
      <c r="F370" s="13">
        <f>IF(E370&gt;'Stats &amp; 3-Sigma Control Bounds'!$C$21, "🚨 ANOMALY SPIKE", IF(E370&lt;0, "💳 CREDIT", "NORMAL"))</f>
        <v/>
      </c>
      <c r="G370" s="16">
        <f>(E370-'Stats &amp; 3-Sigma Control Bounds'!$C$6)/'Stats &amp; 3-Sigma Control Bounds'!$C$9</f>
        <v/>
      </c>
      <c r="H370" s="14">
        <f>IF(F370="🚨 ANOMALY SPIKE", "IMMEDIATE ESCALATION TO ENGINEERING", IF(F370="💳 CREDIT", "AUDIT CREDIT ALLOCATION", "APPROVED USAGE"))</f>
        <v/>
      </c>
    </row>
    <row r="371">
      <c r="A371" s="13">
        <f>'Master Cleaned Data Pipeline'!A366</f>
        <v/>
      </c>
      <c r="B371" s="13">
        <f>'Master Cleaned Data Pipeline'!B366</f>
        <v/>
      </c>
      <c r="C371" s="14">
        <f>'Master Cleaned Data Pipeline'!I366</f>
        <v/>
      </c>
      <c r="D371" s="14">
        <f>'Master Cleaned Data Pipeline'!F366</f>
        <v/>
      </c>
      <c r="E371" s="15">
        <f>'Master Cleaned Data Pipeline'!G366</f>
        <v/>
      </c>
      <c r="F371" s="13">
        <f>IF(E371&gt;'Stats &amp; 3-Sigma Control Bounds'!$C$21, "🚨 ANOMALY SPIKE", IF(E371&lt;0, "💳 CREDIT", "NORMAL"))</f>
        <v/>
      </c>
      <c r="G371" s="16">
        <f>(E371-'Stats &amp; 3-Sigma Control Bounds'!$C$6)/'Stats &amp; 3-Sigma Control Bounds'!$C$9</f>
        <v/>
      </c>
      <c r="H371" s="14">
        <f>IF(F371="🚨 ANOMALY SPIKE", "IMMEDIATE ESCALATION TO ENGINEERING", IF(F371="💳 CREDIT", "AUDIT CREDIT ALLOCATION", "APPROVED USAGE"))</f>
        <v/>
      </c>
    </row>
    <row r="372">
      <c r="A372" s="13">
        <f>'Master Cleaned Data Pipeline'!A367</f>
        <v/>
      </c>
      <c r="B372" s="13">
        <f>'Master Cleaned Data Pipeline'!B367</f>
        <v/>
      </c>
      <c r="C372" s="14">
        <f>'Master Cleaned Data Pipeline'!I367</f>
        <v/>
      </c>
      <c r="D372" s="14">
        <f>'Master Cleaned Data Pipeline'!F367</f>
        <v/>
      </c>
      <c r="E372" s="15">
        <f>'Master Cleaned Data Pipeline'!G367</f>
        <v/>
      </c>
      <c r="F372" s="13">
        <f>IF(E372&gt;'Stats &amp; 3-Sigma Control Bounds'!$C$21, "🚨 ANOMALY SPIKE", IF(E372&lt;0, "💳 CREDIT", "NORMAL"))</f>
        <v/>
      </c>
      <c r="G372" s="16">
        <f>(E372-'Stats &amp; 3-Sigma Control Bounds'!$C$6)/'Stats &amp; 3-Sigma Control Bounds'!$C$9</f>
        <v/>
      </c>
      <c r="H372" s="14">
        <f>IF(F372="🚨 ANOMALY SPIKE", "IMMEDIATE ESCALATION TO ENGINEERING", IF(F372="💳 CREDIT", "AUDIT CREDIT ALLOCATION", "APPROVED USAGE"))</f>
        <v/>
      </c>
    </row>
    <row r="373">
      <c r="A373" s="13">
        <f>'Master Cleaned Data Pipeline'!A368</f>
        <v/>
      </c>
      <c r="B373" s="13">
        <f>'Master Cleaned Data Pipeline'!B368</f>
        <v/>
      </c>
      <c r="C373" s="14">
        <f>'Master Cleaned Data Pipeline'!I368</f>
        <v/>
      </c>
      <c r="D373" s="14">
        <f>'Master Cleaned Data Pipeline'!F368</f>
        <v/>
      </c>
      <c r="E373" s="15">
        <f>'Master Cleaned Data Pipeline'!G368</f>
        <v/>
      </c>
      <c r="F373" s="13">
        <f>IF(E373&gt;'Stats &amp; 3-Sigma Control Bounds'!$C$21, "🚨 ANOMALY SPIKE", IF(E373&lt;0, "💳 CREDIT", "NORMAL"))</f>
        <v/>
      </c>
      <c r="G373" s="16">
        <f>(E373-'Stats &amp; 3-Sigma Control Bounds'!$C$6)/'Stats &amp; 3-Sigma Control Bounds'!$C$9</f>
        <v/>
      </c>
      <c r="H373" s="14">
        <f>IF(F373="🚨 ANOMALY SPIKE", "IMMEDIATE ESCALATION TO ENGINEERING", IF(F373="💳 CREDIT", "AUDIT CREDIT ALLOCATION", "APPROVED USAGE"))</f>
        <v/>
      </c>
    </row>
    <row r="374">
      <c r="A374" s="13">
        <f>'Master Cleaned Data Pipeline'!A369</f>
        <v/>
      </c>
      <c r="B374" s="13">
        <f>'Master Cleaned Data Pipeline'!B369</f>
        <v/>
      </c>
      <c r="C374" s="14">
        <f>'Master Cleaned Data Pipeline'!I369</f>
        <v/>
      </c>
      <c r="D374" s="14">
        <f>'Master Cleaned Data Pipeline'!F369</f>
        <v/>
      </c>
      <c r="E374" s="15">
        <f>'Master Cleaned Data Pipeline'!G369</f>
        <v/>
      </c>
      <c r="F374" s="13">
        <f>IF(E374&gt;'Stats &amp; 3-Sigma Control Bounds'!$C$21, "🚨 ANOMALY SPIKE", IF(E374&lt;0, "💳 CREDIT", "NORMAL"))</f>
        <v/>
      </c>
      <c r="G374" s="16">
        <f>(E374-'Stats &amp; 3-Sigma Control Bounds'!$C$6)/'Stats &amp; 3-Sigma Control Bounds'!$C$9</f>
        <v/>
      </c>
      <c r="H374" s="14">
        <f>IF(F374="🚨 ANOMALY SPIKE", "IMMEDIATE ESCALATION TO ENGINEERING", IF(F374="💳 CREDIT", "AUDIT CREDIT ALLOCATION", "APPROVED USAGE"))</f>
        <v/>
      </c>
    </row>
    <row r="375">
      <c r="A375" s="13">
        <f>'Master Cleaned Data Pipeline'!A370</f>
        <v/>
      </c>
      <c r="B375" s="13">
        <f>'Master Cleaned Data Pipeline'!B370</f>
        <v/>
      </c>
      <c r="C375" s="14">
        <f>'Master Cleaned Data Pipeline'!I370</f>
        <v/>
      </c>
      <c r="D375" s="14">
        <f>'Master Cleaned Data Pipeline'!F370</f>
        <v/>
      </c>
      <c r="E375" s="15">
        <f>'Master Cleaned Data Pipeline'!G370</f>
        <v/>
      </c>
      <c r="F375" s="13">
        <f>IF(E375&gt;'Stats &amp; 3-Sigma Control Bounds'!$C$21, "🚨 ANOMALY SPIKE", IF(E375&lt;0, "💳 CREDIT", "NORMAL"))</f>
        <v/>
      </c>
      <c r="G375" s="16">
        <f>(E375-'Stats &amp; 3-Sigma Control Bounds'!$C$6)/'Stats &amp; 3-Sigma Control Bounds'!$C$9</f>
        <v/>
      </c>
      <c r="H375" s="14">
        <f>IF(F375="🚨 ANOMALY SPIKE", "IMMEDIATE ESCALATION TO ENGINEERING", IF(F375="💳 CREDIT", "AUDIT CREDIT ALLOCATION", "APPROVED USAGE"))</f>
        <v/>
      </c>
    </row>
    <row r="376">
      <c r="A376" s="13">
        <f>'Master Cleaned Data Pipeline'!A371</f>
        <v/>
      </c>
      <c r="B376" s="13">
        <f>'Master Cleaned Data Pipeline'!B371</f>
        <v/>
      </c>
      <c r="C376" s="14">
        <f>'Master Cleaned Data Pipeline'!I371</f>
        <v/>
      </c>
      <c r="D376" s="14">
        <f>'Master Cleaned Data Pipeline'!F371</f>
        <v/>
      </c>
      <c r="E376" s="15">
        <f>'Master Cleaned Data Pipeline'!G371</f>
        <v/>
      </c>
      <c r="F376" s="13">
        <f>IF(E376&gt;'Stats &amp; 3-Sigma Control Bounds'!$C$21, "🚨 ANOMALY SPIKE", IF(E376&lt;0, "💳 CREDIT", "NORMAL"))</f>
        <v/>
      </c>
      <c r="G376" s="16">
        <f>(E376-'Stats &amp; 3-Sigma Control Bounds'!$C$6)/'Stats &amp; 3-Sigma Control Bounds'!$C$9</f>
        <v/>
      </c>
      <c r="H376" s="14">
        <f>IF(F376="🚨 ANOMALY SPIKE", "IMMEDIATE ESCALATION TO ENGINEERING", IF(F376="💳 CREDIT", "AUDIT CREDIT ALLOCATION", "APPROVED USAGE"))</f>
        <v/>
      </c>
    </row>
    <row r="377">
      <c r="A377" s="13">
        <f>'Master Cleaned Data Pipeline'!A372</f>
        <v/>
      </c>
      <c r="B377" s="13">
        <f>'Master Cleaned Data Pipeline'!B372</f>
        <v/>
      </c>
      <c r="C377" s="14">
        <f>'Master Cleaned Data Pipeline'!I372</f>
        <v/>
      </c>
      <c r="D377" s="14">
        <f>'Master Cleaned Data Pipeline'!F372</f>
        <v/>
      </c>
      <c r="E377" s="15">
        <f>'Master Cleaned Data Pipeline'!G372</f>
        <v/>
      </c>
      <c r="F377" s="13">
        <f>IF(E377&gt;'Stats &amp; 3-Sigma Control Bounds'!$C$21, "🚨 ANOMALY SPIKE", IF(E377&lt;0, "💳 CREDIT", "NORMAL"))</f>
        <v/>
      </c>
      <c r="G377" s="16">
        <f>(E377-'Stats &amp; 3-Sigma Control Bounds'!$C$6)/'Stats &amp; 3-Sigma Control Bounds'!$C$9</f>
        <v/>
      </c>
      <c r="H377" s="14">
        <f>IF(F377="🚨 ANOMALY SPIKE", "IMMEDIATE ESCALATION TO ENGINEERING", IF(F377="💳 CREDIT", "AUDIT CREDIT ALLOCATION", "APPROVED USAGE"))</f>
        <v/>
      </c>
    </row>
    <row r="378">
      <c r="A378" s="13">
        <f>'Master Cleaned Data Pipeline'!A373</f>
        <v/>
      </c>
      <c r="B378" s="13">
        <f>'Master Cleaned Data Pipeline'!B373</f>
        <v/>
      </c>
      <c r="C378" s="14">
        <f>'Master Cleaned Data Pipeline'!I373</f>
        <v/>
      </c>
      <c r="D378" s="14">
        <f>'Master Cleaned Data Pipeline'!F373</f>
        <v/>
      </c>
      <c r="E378" s="15">
        <f>'Master Cleaned Data Pipeline'!G373</f>
        <v/>
      </c>
      <c r="F378" s="13">
        <f>IF(E378&gt;'Stats &amp; 3-Sigma Control Bounds'!$C$21, "🚨 ANOMALY SPIKE", IF(E378&lt;0, "💳 CREDIT", "NORMAL"))</f>
        <v/>
      </c>
      <c r="G378" s="16">
        <f>(E378-'Stats &amp; 3-Sigma Control Bounds'!$C$6)/'Stats &amp; 3-Sigma Control Bounds'!$C$9</f>
        <v/>
      </c>
      <c r="H378" s="14">
        <f>IF(F378="🚨 ANOMALY SPIKE", "IMMEDIATE ESCALATION TO ENGINEERING", IF(F378="💳 CREDIT", "AUDIT CREDIT ALLOCATION", "APPROVED USAGE"))</f>
        <v/>
      </c>
    </row>
    <row r="379">
      <c r="A379" s="13">
        <f>'Master Cleaned Data Pipeline'!A374</f>
        <v/>
      </c>
      <c r="B379" s="13">
        <f>'Master Cleaned Data Pipeline'!B374</f>
        <v/>
      </c>
      <c r="C379" s="14">
        <f>'Master Cleaned Data Pipeline'!I374</f>
        <v/>
      </c>
      <c r="D379" s="14">
        <f>'Master Cleaned Data Pipeline'!F374</f>
        <v/>
      </c>
      <c r="E379" s="15">
        <f>'Master Cleaned Data Pipeline'!G374</f>
        <v/>
      </c>
      <c r="F379" s="13">
        <f>IF(E379&gt;'Stats &amp; 3-Sigma Control Bounds'!$C$21, "🚨 ANOMALY SPIKE", IF(E379&lt;0, "💳 CREDIT", "NORMAL"))</f>
        <v/>
      </c>
      <c r="G379" s="16">
        <f>(E379-'Stats &amp; 3-Sigma Control Bounds'!$C$6)/'Stats &amp; 3-Sigma Control Bounds'!$C$9</f>
        <v/>
      </c>
      <c r="H379" s="14">
        <f>IF(F379="🚨 ANOMALY SPIKE", "IMMEDIATE ESCALATION TO ENGINEERING", IF(F379="💳 CREDIT", "AUDIT CREDIT ALLOCATION", "APPROVED USAGE"))</f>
        <v/>
      </c>
    </row>
    <row r="380">
      <c r="A380" s="13">
        <f>'Master Cleaned Data Pipeline'!A375</f>
        <v/>
      </c>
      <c r="B380" s="13">
        <f>'Master Cleaned Data Pipeline'!B375</f>
        <v/>
      </c>
      <c r="C380" s="14">
        <f>'Master Cleaned Data Pipeline'!I375</f>
        <v/>
      </c>
      <c r="D380" s="14">
        <f>'Master Cleaned Data Pipeline'!F375</f>
        <v/>
      </c>
      <c r="E380" s="15">
        <f>'Master Cleaned Data Pipeline'!G375</f>
        <v/>
      </c>
      <c r="F380" s="13">
        <f>IF(E380&gt;'Stats &amp; 3-Sigma Control Bounds'!$C$21, "🚨 ANOMALY SPIKE", IF(E380&lt;0, "💳 CREDIT", "NORMAL"))</f>
        <v/>
      </c>
      <c r="G380" s="16">
        <f>(E380-'Stats &amp; 3-Sigma Control Bounds'!$C$6)/'Stats &amp; 3-Sigma Control Bounds'!$C$9</f>
        <v/>
      </c>
      <c r="H380" s="14">
        <f>IF(F380="🚨 ANOMALY SPIKE", "IMMEDIATE ESCALATION TO ENGINEERING", IF(F380="💳 CREDIT", "AUDIT CREDIT ALLOCATION", "APPROVED USAGE"))</f>
        <v/>
      </c>
    </row>
    <row r="381">
      <c r="A381" s="13">
        <f>'Master Cleaned Data Pipeline'!A376</f>
        <v/>
      </c>
      <c r="B381" s="13">
        <f>'Master Cleaned Data Pipeline'!B376</f>
        <v/>
      </c>
      <c r="C381" s="14">
        <f>'Master Cleaned Data Pipeline'!I376</f>
        <v/>
      </c>
      <c r="D381" s="14">
        <f>'Master Cleaned Data Pipeline'!F376</f>
        <v/>
      </c>
      <c r="E381" s="15">
        <f>'Master Cleaned Data Pipeline'!G376</f>
        <v/>
      </c>
      <c r="F381" s="13">
        <f>IF(E381&gt;'Stats &amp; 3-Sigma Control Bounds'!$C$21, "🚨 ANOMALY SPIKE", IF(E381&lt;0, "💳 CREDIT", "NORMAL"))</f>
        <v/>
      </c>
      <c r="G381" s="16">
        <f>(E381-'Stats &amp; 3-Sigma Control Bounds'!$C$6)/'Stats &amp; 3-Sigma Control Bounds'!$C$9</f>
        <v/>
      </c>
      <c r="H381" s="14">
        <f>IF(F381="🚨 ANOMALY SPIKE", "IMMEDIATE ESCALATION TO ENGINEERING", IF(F381="💳 CREDIT", "AUDIT CREDIT ALLOCATION", "APPROVED USAGE"))</f>
        <v/>
      </c>
    </row>
    <row r="382">
      <c r="A382" s="13">
        <f>'Master Cleaned Data Pipeline'!A377</f>
        <v/>
      </c>
      <c r="B382" s="13">
        <f>'Master Cleaned Data Pipeline'!B377</f>
        <v/>
      </c>
      <c r="C382" s="14">
        <f>'Master Cleaned Data Pipeline'!I377</f>
        <v/>
      </c>
      <c r="D382" s="14">
        <f>'Master Cleaned Data Pipeline'!F377</f>
        <v/>
      </c>
      <c r="E382" s="15">
        <f>'Master Cleaned Data Pipeline'!G377</f>
        <v/>
      </c>
      <c r="F382" s="13">
        <f>IF(E382&gt;'Stats &amp; 3-Sigma Control Bounds'!$C$21, "🚨 ANOMALY SPIKE", IF(E382&lt;0, "💳 CREDIT", "NORMAL"))</f>
        <v/>
      </c>
      <c r="G382" s="16">
        <f>(E382-'Stats &amp; 3-Sigma Control Bounds'!$C$6)/'Stats &amp; 3-Sigma Control Bounds'!$C$9</f>
        <v/>
      </c>
      <c r="H382" s="14">
        <f>IF(F382="🚨 ANOMALY SPIKE", "IMMEDIATE ESCALATION TO ENGINEERING", IF(F382="💳 CREDIT", "AUDIT CREDIT ALLOCATION", "APPROVED USAGE"))</f>
        <v/>
      </c>
    </row>
    <row r="383">
      <c r="A383" s="13">
        <f>'Master Cleaned Data Pipeline'!A378</f>
        <v/>
      </c>
      <c r="B383" s="13">
        <f>'Master Cleaned Data Pipeline'!B378</f>
        <v/>
      </c>
      <c r="C383" s="14">
        <f>'Master Cleaned Data Pipeline'!I378</f>
        <v/>
      </c>
      <c r="D383" s="14">
        <f>'Master Cleaned Data Pipeline'!F378</f>
        <v/>
      </c>
      <c r="E383" s="15">
        <f>'Master Cleaned Data Pipeline'!G378</f>
        <v/>
      </c>
      <c r="F383" s="13">
        <f>IF(E383&gt;'Stats &amp; 3-Sigma Control Bounds'!$C$21, "🚨 ANOMALY SPIKE", IF(E383&lt;0, "💳 CREDIT", "NORMAL"))</f>
        <v/>
      </c>
      <c r="G383" s="16">
        <f>(E383-'Stats &amp; 3-Sigma Control Bounds'!$C$6)/'Stats &amp; 3-Sigma Control Bounds'!$C$9</f>
        <v/>
      </c>
      <c r="H383" s="14">
        <f>IF(F383="🚨 ANOMALY SPIKE", "IMMEDIATE ESCALATION TO ENGINEERING", IF(F383="💳 CREDIT", "AUDIT CREDIT ALLOCATION", "APPROVED USAGE"))</f>
        <v/>
      </c>
    </row>
    <row r="384">
      <c r="A384" s="13">
        <f>'Master Cleaned Data Pipeline'!A379</f>
        <v/>
      </c>
      <c r="B384" s="13">
        <f>'Master Cleaned Data Pipeline'!B379</f>
        <v/>
      </c>
      <c r="C384" s="14">
        <f>'Master Cleaned Data Pipeline'!I379</f>
        <v/>
      </c>
      <c r="D384" s="14">
        <f>'Master Cleaned Data Pipeline'!F379</f>
        <v/>
      </c>
      <c r="E384" s="15">
        <f>'Master Cleaned Data Pipeline'!G379</f>
        <v/>
      </c>
      <c r="F384" s="13">
        <f>IF(E384&gt;'Stats &amp; 3-Sigma Control Bounds'!$C$21, "🚨 ANOMALY SPIKE", IF(E384&lt;0, "💳 CREDIT", "NORMAL"))</f>
        <v/>
      </c>
      <c r="G384" s="16">
        <f>(E384-'Stats &amp; 3-Sigma Control Bounds'!$C$6)/'Stats &amp; 3-Sigma Control Bounds'!$C$9</f>
        <v/>
      </c>
      <c r="H384" s="14">
        <f>IF(F384="🚨 ANOMALY SPIKE", "IMMEDIATE ESCALATION TO ENGINEERING", IF(F384="💳 CREDIT", "AUDIT CREDIT ALLOCATION", "APPROVED USAGE"))</f>
        <v/>
      </c>
    </row>
    <row r="385">
      <c r="A385" s="13">
        <f>'Master Cleaned Data Pipeline'!A380</f>
        <v/>
      </c>
      <c r="B385" s="13">
        <f>'Master Cleaned Data Pipeline'!B380</f>
        <v/>
      </c>
      <c r="C385" s="14">
        <f>'Master Cleaned Data Pipeline'!I380</f>
        <v/>
      </c>
      <c r="D385" s="14">
        <f>'Master Cleaned Data Pipeline'!F380</f>
        <v/>
      </c>
      <c r="E385" s="15">
        <f>'Master Cleaned Data Pipeline'!G380</f>
        <v/>
      </c>
      <c r="F385" s="13">
        <f>IF(E385&gt;'Stats &amp; 3-Sigma Control Bounds'!$C$21, "🚨 ANOMALY SPIKE", IF(E385&lt;0, "💳 CREDIT", "NORMAL"))</f>
        <v/>
      </c>
      <c r="G385" s="16">
        <f>(E385-'Stats &amp; 3-Sigma Control Bounds'!$C$6)/'Stats &amp; 3-Sigma Control Bounds'!$C$9</f>
        <v/>
      </c>
      <c r="H385" s="14">
        <f>IF(F385="🚨 ANOMALY SPIKE", "IMMEDIATE ESCALATION TO ENGINEERING", IF(F385="💳 CREDIT", "AUDIT CREDIT ALLOCATION", "APPROVED USAGE"))</f>
        <v/>
      </c>
    </row>
    <row r="386">
      <c r="A386" s="13">
        <f>'Master Cleaned Data Pipeline'!A381</f>
        <v/>
      </c>
      <c r="B386" s="13">
        <f>'Master Cleaned Data Pipeline'!B381</f>
        <v/>
      </c>
      <c r="C386" s="14">
        <f>'Master Cleaned Data Pipeline'!I381</f>
        <v/>
      </c>
      <c r="D386" s="14">
        <f>'Master Cleaned Data Pipeline'!F381</f>
        <v/>
      </c>
      <c r="E386" s="15">
        <f>'Master Cleaned Data Pipeline'!G381</f>
        <v/>
      </c>
      <c r="F386" s="13">
        <f>IF(E386&gt;'Stats &amp; 3-Sigma Control Bounds'!$C$21, "🚨 ANOMALY SPIKE", IF(E386&lt;0, "💳 CREDIT", "NORMAL"))</f>
        <v/>
      </c>
      <c r="G386" s="16">
        <f>(E386-'Stats &amp; 3-Sigma Control Bounds'!$C$6)/'Stats &amp; 3-Sigma Control Bounds'!$C$9</f>
        <v/>
      </c>
      <c r="H386" s="14">
        <f>IF(F386="🚨 ANOMALY SPIKE", "IMMEDIATE ESCALATION TO ENGINEERING", IF(F386="💳 CREDIT", "AUDIT CREDIT ALLOCATION", "APPROVED USAGE"))</f>
        <v/>
      </c>
    </row>
    <row r="387">
      <c r="A387" s="13">
        <f>'Master Cleaned Data Pipeline'!A382</f>
        <v/>
      </c>
      <c r="B387" s="13">
        <f>'Master Cleaned Data Pipeline'!B382</f>
        <v/>
      </c>
      <c r="C387" s="14">
        <f>'Master Cleaned Data Pipeline'!I382</f>
        <v/>
      </c>
      <c r="D387" s="14">
        <f>'Master Cleaned Data Pipeline'!F382</f>
        <v/>
      </c>
      <c r="E387" s="15">
        <f>'Master Cleaned Data Pipeline'!G382</f>
        <v/>
      </c>
      <c r="F387" s="13">
        <f>IF(E387&gt;'Stats &amp; 3-Sigma Control Bounds'!$C$21, "🚨 ANOMALY SPIKE", IF(E387&lt;0, "💳 CREDIT", "NORMAL"))</f>
        <v/>
      </c>
      <c r="G387" s="16">
        <f>(E387-'Stats &amp; 3-Sigma Control Bounds'!$C$6)/'Stats &amp; 3-Sigma Control Bounds'!$C$9</f>
        <v/>
      </c>
      <c r="H387" s="14">
        <f>IF(F387="🚨 ANOMALY SPIKE", "IMMEDIATE ESCALATION TO ENGINEERING", IF(F387="💳 CREDIT", "AUDIT CREDIT ALLOCATION", "APPROVED USAGE"))</f>
        <v/>
      </c>
    </row>
    <row r="388">
      <c r="A388" s="13">
        <f>'Master Cleaned Data Pipeline'!A383</f>
        <v/>
      </c>
      <c r="B388" s="13">
        <f>'Master Cleaned Data Pipeline'!B383</f>
        <v/>
      </c>
      <c r="C388" s="14">
        <f>'Master Cleaned Data Pipeline'!I383</f>
        <v/>
      </c>
      <c r="D388" s="14">
        <f>'Master Cleaned Data Pipeline'!F383</f>
        <v/>
      </c>
      <c r="E388" s="15">
        <f>'Master Cleaned Data Pipeline'!G383</f>
        <v/>
      </c>
      <c r="F388" s="13">
        <f>IF(E388&gt;'Stats &amp; 3-Sigma Control Bounds'!$C$21, "🚨 ANOMALY SPIKE", IF(E388&lt;0, "💳 CREDIT", "NORMAL"))</f>
        <v/>
      </c>
      <c r="G388" s="16">
        <f>(E388-'Stats &amp; 3-Sigma Control Bounds'!$C$6)/'Stats &amp; 3-Sigma Control Bounds'!$C$9</f>
        <v/>
      </c>
      <c r="H388" s="14">
        <f>IF(F388="🚨 ANOMALY SPIKE", "IMMEDIATE ESCALATION TO ENGINEERING", IF(F388="💳 CREDIT", "AUDIT CREDIT ALLOCATION", "APPROVED USAGE"))</f>
        <v/>
      </c>
    </row>
    <row r="389">
      <c r="A389" s="13">
        <f>'Master Cleaned Data Pipeline'!A384</f>
        <v/>
      </c>
      <c r="B389" s="13">
        <f>'Master Cleaned Data Pipeline'!B384</f>
        <v/>
      </c>
      <c r="C389" s="14">
        <f>'Master Cleaned Data Pipeline'!I384</f>
        <v/>
      </c>
      <c r="D389" s="14">
        <f>'Master Cleaned Data Pipeline'!F384</f>
        <v/>
      </c>
      <c r="E389" s="15">
        <f>'Master Cleaned Data Pipeline'!G384</f>
        <v/>
      </c>
      <c r="F389" s="13">
        <f>IF(E389&gt;'Stats &amp; 3-Sigma Control Bounds'!$C$21, "🚨 ANOMALY SPIKE", IF(E389&lt;0, "💳 CREDIT", "NORMAL"))</f>
        <v/>
      </c>
      <c r="G389" s="16">
        <f>(E389-'Stats &amp; 3-Sigma Control Bounds'!$C$6)/'Stats &amp; 3-Sigma Control Bounds'!$C$9</f>
        <v/>
      </c>
      <c r="H389" s="14">
        <f>IF(F389="🚨 ANOMALY SPIKE", "IMMEDIATE ESCALATION TO ENGINEERING", IF(F389="💳 CREDIT", "AUDIT CREDIT ALLOCATION", "APPROVED USAGE"))</f>
        <v/>
      </c>
    </row>
    <row r="390">
      <c r="A390" s="13">
        <f>'Master Cleaned Data Pipeline'!A385</f>
        <v/>
      </c>
      <c r="B390" s="13">
        <f>'Master Cleaned Data Pipeline'!B385</f>
        <v/>
      </c>
      <c r="C390" s="14">
        <f>'Master Cleaned Data Pipeline'!I385</f>
        <v/>
      </c>
      <c r="D390" s="14">
        <f>'Master Cleaned Data Pipeline'!F385</f>
        <v/>
      </c>
      <c r="E390" s="15">
        <f>'Master Cleaned Data Pipeline'!G385</f>
        <v/>
      </c>
      <c r="F390" s="13">
        <f>IF(E390&gt;'Stats &amp; 3-Sigma Control Bounds'!$C$21, "🚨 ANOMALY SPIKE", IF(E390&lt;0, "💳 CREDIT", "NORMAL"))</f>
        <v/>
      </c>
      <c r="G390" s="16">
        <f>(E390-'Stats &amp; 3-Sigma Control Bounds'!$C$6)/'Stats &amp; 3-Sigma Control Bounds'!$C$9</f>
        <v/>
      </c>
      <c r="H390" s="14">
        <f>IF(F390="🚨 ANOMALY SPIKE", "IMMEDIATE ESCALATION TO ENGINEERING", IF(F390="💳 CREDIT", "AUDIT CREDIT ALLOCATION", "APPROVED USAGE"))</f>
        <v/>
      </c>
    </row>
    <row r="391">
      <c r="A391" s="13">
        <f>'Master Cleaned Data Pipeline'!A386</f>
        <v/>
      </c>
      <c r="B391" s="13">
        <f>'Master Cleaned Data Pipeline'!B386</f>
        <v/>
      </c>
      <c r="C391" s="14">
        <f>'Master Cleaned Data Pipeline'!I386</f>
        <v/>
      </c>
      <c r="D391" s="14">
        <f>'Master Cleaned Data Pipeline'!F386</f>
        <v/>
      </c>
      <c r="E391" s="15">
        <f>'Master Cleaned Data Pipeline'!G386</f>
        <v/>
      </c>
      <c r="F391" s="13">
        <f>IF(E391&gt;'Stats &amp; 3-Sigma Control Bounds'!$C$21, "🚨 ANOMALY SPIKE", IF(E391&lt;0, "💳 CREDIT", "NORMAL"))</f>
        <v/>
      </c>
      <c r="G391" s="16">
        <f>(E391-'Stats &amp; 3-Sigma Control Bounds'!$C$6)/'Stats &amp; 3-Sigma Control Bounds'!$C$9</f>
        <v/>
      </c>
      <c r="H391" s="14">
        <f>IF(F391="🚨 ANOMALY SPIKE", "IMMEDIATE ESCALATION TO ENGINEERING", IF(F391="💳 CREDIT", "AUDIT CREDIT ALLOCATION", "APPROVED USAGE"))</f>
        <v/>
      </c>
    </row>
    <row r="392">
      <c r="A392" s="13">
        <f>'Master Cleaned Data Pipeline'!A387</f>
        <v/>
      </c>
      <c r="B392" s="13">
        <f>'Master Cleaned Data Pipeline'!B387</f>
        <v/>
      </c>
      <c r="C392" s="14">
        <f>'Master Cleaned Data Pipeline'!I387</f>
        <v/>
      </c>
      <c r="D392" s="14">
        <f>'Master Cleaned Data Pipeline'!F387</f>
        <v/>
      </c>
      <c r="E392" s="15">
        <f>'Master Cleaned Data Pipeline'!G387</f>
        <v/>
      </c>
      <c r="F392" s="13">
        <f>IF(E392&gt;'Stats &amp; 3-Sigma Control Bounds'!$C$21, "🚨 ANOMALY SPIKE", IF(E392&lt;0, "💳 CREDIT", "NORMAL"))</f>
        <v/>
      </c>
      <c r="G392" s="16">
        <f>(E392-'Stats &amp; 3-Sigma Control Bounds'!$C$6)/'Stats &amp; 3-Sigma Control Bounds'!$C$9</f>
        <v/>
      </c>
      <c r="H392" s="14">
        <f>IF(F392="🚨 ANOMALY SPIKE", "IMMEDIATE ESCALATION TO ENGINEERING", IF(F392="💳 CREDIT", "AUDIT CREDIT ALLOCATION", "APPROVED USAGE"))</f>
        <v/>
      </c>
    </row>
    <row r="393">
      <c r="A393" s="13">
        <f>'Master Cleaned Data Pipeline'!A388</f>
        <v/>
      </c>
      <c r="B393" s="13">
        <f>'Master Cleaned Data Pipeline'!B388</f>
        <v/>
      </c>
      <c r="C393" s="14">
        <f>'Master Cleaned Data Pipeline'!I388</f>
        <v/>
      </c>
      <c r="D393" s="14">
        <f>'Master Cleaned Data Pipeline'!F388</f>
        <v/>
      </c>
      <c r="E393" s="15">
        <f>'Master Cleaned Data Pipeline'!G388</f>
        <v/>
      </c>
      <c r="F393" s="13">
        <f>IF(E393&gt;'Stats &amp; 3-Sigma Control Bounds'!$C$21, "🚨 ANOMALY SPIKE", IF(E393&lt;0, "💳 CREDIT", "NORMAL"))</f>
        <v/>
      </c>
      <c r="G393" s="16">
        <f>(E393-'Stats &amp; 3-Sigma Control Bounds'!$C$6)/'Stats &amp; 3-Sigma Control Bounds'!$C$9</f>
        <v/>
      </c>
      <c r="H393" s="14">
        <f>IF(F393="🚨 ANOMALY SPIKE", "IMMEDIATE ESCALATION TO ENGINEERING", IF(F393="💳 CREDIT", "AUDIT CREDIT ALLOCATION", "APPROVED USAGE"))</f>
        <v/>
      </c>
    </row>
    <row r="394">
      <c r="A394" s="13">
        <f>'Master Cleaned Data Pipeline'!A389</f>
        <v/>
      </c>
      <c r="B394" s="13">
        <f>'Master Cleaned Data Pipeline'!B389</f>
        <v/>
      </c>
      <c r="C394" s="14">
        <f>'Master Cleaned Data Pipeline'!I389</f>
        <v/>
      </c>
      <c r="D394" s="14">
        <f>'Master Cleaned Data Pipeline'!F389</f>
        <v/>
      </c>
      <c r="E394" s="15">
        <f>'Master Cleaned Data Pipeline'!G389</f>
        <v/>
      </c>
      <c r="F394" s="13">
        <f>IF(E394&gt;'Stats &amp; 3-Sigma Control Bounds'!$C$21, "🚨 ANOMALY SPIKE", IF(E394&lt;0, "💳 CREDIT", "NORMAL"))</f>
        <v/>
      </c>
      <c r="G394" s="16">
        <f>(E394-'Stats &amp; 3-Sigma Control Bounds'!$C$6)/'Stats &amp; 3-Sigma Control Bounds'!$C$9</f>
        <v/>
      </c>
      <c r="H394" s="14">
        <f>IF(F394="🚨 ANOMALY SPIKE", "IMMEDIATE ESCALATION TO ENGINEERING", IF(F394="💳 CREDIT", "AUDIT CREDIT ALLOCATION", "APPROVED USAGE"))</f>
        <v/>
      </c>
    </row>
    <row r="395">
      <c r="A395" s="13">
        <f>'Master Cleaned Data Pipeline'!A390</f>
        <v/>
      </c>
      <c r="B395" s="13">
        <f>'Master Cleaned Data Pipeline'!B390</f>
        <v/>
      </c>
      <c r="C395" s="14">
        <f>'Master Cleaned Data Pipeline'!I390</f>
        <v/>
      </c>
      <c r="D395" s="14">
        <f>'Master Cleaned Data Pipeline'!F390</f>
        <v/>
      </c>
      <c r="E395" s="15">
        <f>'Master Cleaned Data Pipeline'!G390</f>
        <v/>
      </c>
      <c r="F395" s="13">
        <f>IF(E395&gt;'Stats &amp; 3-Sigma Control Bounds'!$C$21, "🚨 ANOMALY SPIKE", IF(E395&lt;0, "💳 CREDIT", "NORMAL"))</f>
        <v/>
      </c>
      <c r="G395" s="16">
        <f>(E395-'Stats &amp; 3-Sigma Control Bounds'!$C$6)/'Stats &amp; 3-Sigma Control Bounds'!$C$9</f>
        <v/>
      </c>
      <c r="H395" s="14">
        <f>IF(F395="🚨 ANOMALY SPIKE", "IMMEDIATE ESCALATION TO ENGINEERING", IF(F395="💳 CREDIT", "AUDIT CREDIT ALLOCATION", "APPROVED USAGE"))</f>
        <v/>
      </c>
    </row>
    <row r="396">
      <c r="A396" s="13">
        <f>'Master Cleaned Data Pipeline'!A391</f>
        <v/>
      </c>
      <c r="B396" s="13">
        <f>'Master Cleaned Data Pipeline'!B391</f>
        <v/>
      </c>
      <c r="C396" s="14">
        <f>'Master Cleaned Data Pipeline'!I391</f>
        <v/>
      </c>
      <c r="D396" s="14">
        <f>'Master Cleaned Data Pipeline'!F391</f>
        <v/>
      </c>
      <c r="E396" s="15">
        <f>'Master Cleaned Data Pipeline'!G391</f>
        <v/>
      </c>
      <c r="F396" s="13">
        <f>IF(E396&gt;'Stats &amp; 3-Sigma Control Bounds'!$C$21, "🚨 ANOMALY SPIKE", IF(E396&lt;0, "💳 CREDIT", "NORMAL"))</f>
        <v/>
      </c>
      <c r="G396" s="16">
        <f>(E396-'Stats &amp; 3-Sigma Control Bounds'!$C$6)/'Stats &amp; 3-Sigma Control Bounds'!$C$9</f>
        <v/>
      </c>
      <c r="H396" s="14">
        <f>IF(F396="🚨 ANOMALY SPIKE", "IMMEDIATE ESCALATION TO ENGINEERING", IF(F396="💳 CREDIT", "AUDIT CREDIT ALLOCATION", "APPROVED USAGE"))</f>
        <v/>
      </c>
    </row>
    <row r="397">
      <c r="A397" s="13">
        <f>'Master Cleaned Data Pipeline'!A392</f>
        <v/>
      </c>
      <c r="B397" s="13">
        <f>'Master Cleaned Data Pipeline'!B392</f>
        <v/>
      </c>
      <c r="C397" s="14">
        <f>'Master Cleaned Data Pipeline'!I392</f>
        <v/>
      </c>
      <c r="D397" s="14">
        <f>'Master Cleaned Data Pipeline'!F392</f>
        <v/>
      </c>
      <c r="E397" s="15">
        <f>'Master Cleaned Data Pipeline'!G392</f>
        <v/>
      </c>
      <c r="F397" s="13">
        <f>IF(E397&gt;'Stats &amp; 3-Sigma Control Bounds'!$C$21, "🚨 ANOMALY SPIKE", IF(E397&lt;0, "💳 CREDIT", "NORMAL"))</f>
        <v/>
      </c>
      <c r="G397" s="16">
        <f>(E397-'Stats &amp; 3-Sigma Control Bounds'!$C$6)/'Stats &amp; 3-Sigma Control Bounds'!$C$9</f>
        <v/>
      </c>
      <c r="H397" s="14">
        <f>IF(F397="🚨 ANOMALY SPIKE", "IMMEDIATE ESCALATION TO ENGINEERING", IF(F397="💳 CREDIT", "AUDIT CREDIT ALLOCATION", "APPROVED USAGE"))</f>
        <v/>
      </c>
    </row>
    <row r="398">
      <c r="A398" s="13">
        <f>'Master Cleaned Data Pipeline'!A393</f>
        <v/>
      </c>
      <c r="B398" s="13">
        <f>'Master Cleaned Data Pipeline'!B393</f>
        <v/>
      </c>
      <c r="C398" s="14">
        <f>'Master Cleaned Data Pipeline'!I393</f>
        <v/>
      </c>
      <c r="D398" s="14">
        <f>'Master Cleaned Data Pipeline'!F393</f>
        <v/>
      </c>
      <c r="E398" s="15">
        <f>'Master Cleaned Data Pipeline'!G393</f>
        <v/>
      </c>
      <c r="F398" s="13">
        <f>IF(E398&gt;'Stats &amp; 3-Sigma Control Bounds'!$C$21, "🚨 ANOMALY SPIKE", IF(E398&lt;0, "💳 CREDIT", "NORMAL"))</f>
        <v/>
      </c>
      <c r="G398" s="16">
        <f>(E398-'Stats &amp; 3-Sigma Control Bounds'!$C$6)/'Stats &amp; 3-Sigma Control Bounds'!$C$9</f>
        <v/>
      </c>
      <c r="H398" s="14">
        <f>IF(F398="🚨 ANOMALY SPIKE", "IMMEDIATE ESCALATION TO ENGINEERING", IF(F398="💳 CREDIT", "AUDIT CREDIT ALLOCATION", "APPROVED USAGE"))</f>
        <v/>
      </c>
    </row>
    <row r="399">
      <c r="A399" s="13">
        <f>'Master Cleaned Data Pipeline'!A394</f>
        <v/>
      </c>
      <c r="B399" s="13">
        <f>'Master Cleaned Data Pipeline'!B394</f>
        <v/>
      </c>
      <c r="C399" s="14">
        <f>'Master Cleaned Data Pipeline'!I394</f>
        <v/>
      </c>
      <c r="D399" s="14">
        <f>'Master Cleaned Data Pipeline'!F394</f>
        <v/>
      </c>
      <c r="E399" s="15">
        <f>'Master Cleaned Data Pipeline'!G394</f>
        <v/>
      </c>
      <c r="F399" s="13">
        <f>IF(E399&gt;'Stats &amp; 3-Sigma Control Bounds'!$C$21, "🚨 ANOMALY SPIKE", IF(E399&lt;0, "💳 CREDIT", "NORMAL"))</f>
        <v/>
      </c>
      <c r="G399" s="16">
        <f>(E399-'Stats &amp; 3-Sigma Control Bounds'!$C$6)/'Stats &amp; 3-Sigma Control Bounds'!$C$9</f>
        <v/>
      </c>
      <c r="H399" s="14">
        <f>IF(F399="🚨 ANOMALY SPIKE", "IMMEDIATE ESCALATION TO ENGINEERING", IF(F399="💳 CREDIT", "AUDIT CREDIT ALLOCATION", "APPROVED USAGE"))</f>
        <v/>
      </c>
    </row>
    <row r="400">
      <c r="A400" s="13">
        <f>'Master Cleaned Data Pipeline'!A395</f>
        <v/>
      </c>
      <c r="B400" s="13">
        <f>'Master Cleaned Data Pipeline'!B395</f>
        <v/>
      </c>
      <c r="C400" s="14">
        <f>'Master Cleaned Data Pipeline'!I395</f>
        <v/>
      </c>
      <c r="D400" s="14">
        <f>'Master Cleaned Data Pipeline'!F395</f>
        <v/>
      </c>
      <c r="E400" s="15">
        <f>'Master Cleaned Data Pipeline'!G395</f>
        <v/>
      </c>
      <c r="F400" s="13">
        <f>IF(E400&gt;'Stats &amp; 3-Sigma Control Bounds'!$C$21, "🚨 ANOMALY SPIKE", IF(E400&lt;0, "💳 CREDIT", "NORMAL"))</f>
        <v/>
      </c>
      <c r="G400" s="16">
        <f>(E400-'Stats &amp; 3-Sigma Control Bounds'!$C$6)/'Stats &amp; 3-Sigma Control Bounds'!$C$9</f>
        <v/>
      </c>
      <c r="H400" s="14">
        <f>IF(F400="🚨 ANOMALY SPIKE", "IMMEDIATE ESCALATION TO ENGINEERING", IF(F400="💳 CREDIT", "AUDIT CREDIT ALLOCATION", "APPROVED USAGE"))</f>
        <v/>
      </c>
    </row>
    <row r="401">
      <c r="A401" s="13">
        <f>'Master Cleaned Data Pipeline'!A396</f>
        <v/>
      </c>
      <c r="B401" s="13">
        <f>'Master Cleaned Data Pipeline'!B396</f>
        <v/>
      </c>
      <c r="C401" s="14">
        <f>'Master Cleaned Data Pipeline'!I396</f>
        <v/>
      </c>
      <c r="D401" s="14">
        <f>'Master Cleaned Data Pipeline'!F396</f>
        <v/>
      </c>
      <c r="E401" s="15">
        <f>'Master Cleaned Data Pipeline'!G396</f>
        <v/>
      </c>
      <c r="F401" s="13">
        <f>IF(E401&gt;'Stats &amp; 3-Sigma Control Bounds'!$C$21, "🚨 ANOMALY SPIKE", IF(E401&lt;0, "💳 CREDIT", "NORMAL"))</f>
        <v/>
      </c>
      <c r="G401" s="16">
        <f>(E401-'Stats &amp; 3-Sigma Control Bounds'!$C$6)/'Stats &amp; 3-Sigma Control Bounds'!$C$9</f>
        <v/>
      </c>
      <c r="H401" s="14">
        <f>IF(F401="🚨 ANOMALY SPIKE", "IMMEDIATE ESCALATION TO ENGINEERING", IF(F401="💳 CREDIT", "AUDIT CREDIT ALLOCATION", "APPROVED USAGE"))</f>
        <v/>
      </c>
    </row>
    <row r="402">
      <c r="A402" s="13">
        <f>'Master Cleaned Data Pipeline'!A397</f>
        <v/>
      </c>
      <c r="B402" s="13">
        <f>'Master Cleaned Data Pipeline'!B397</f>
        <v/>
      </c>
      <c r="C402" s="14">
        <f>'Master Cleaned Data Pipeline'!I397</f>
        <v/>
      </c>
      <c r="D402" s="14">
        <f>'Master Cleaned Data Pipeline'!F397</f>
        <v/>
      </c>
      <c r="E402" s="15">
        <f>'Master Cleaned Data Pipeline'!G397</f>
        <v/>
      </c>
      <c r="F402" s="13">
        <f>IF(E402&gt;'Stats &amp; 3-Sigma Control Bounds'!$C$21, "🚨 ANOMALY SPIKE", IF(E402&lt;0, "💳 CREDIT", "NORMAL"))</f>
        <v/>
      </c>
      <c r="G402" s="16">
        <f>(E402-'Stats &amp; 3-Sigma Control Bounds'!$C$6)/'Stats &amp; 3-Sigma Control Bounds'!$C$9</f>
        <v/>
      </c>
      <c r="H402" s="14">
        <f>IF(F402="🚨 ANOMALY SPIKE", "IMMEDIATE ESCALATION TO ENGINEERING", IF(F402="💳 CREDIT", "AUDIT CREDIT ALLOCATION", "APPROVED USAGE"))</f>
        <v/>
      </c>
    </row>
    <row r="403">
      <c r="A403" s="13">
        <f>'Master Cleaned Data Pipeline'!A398</f>
        <v/>
      </c>
      <c r="B403" s="13">
        <f>'Master Cleaned Data Pipeline'!B398</f>
        <v/>
      </c>
      <c r="C403" s="14">
        <f>'Master Cleaned Data Pipeline'!I398</f>
        <v/>
      </c>
      <c r="D403" s="14">
        <f>'Master Cleaned Data Pipeline'!F398</f>
        <v/>
      </c>
      <c r="E403" s="15">
        <f>'Master Cleaned Data Pipeline'!G398</f>
        <v/>
      </c>
      <c r="F403" s="13">
        <f>IF(E403&gt;'Stats &amp; 3-Sigma Control Bounds'!$C$21, "🚨 ANOMALY SPIKE", IF(E403&lt;0, "💳 CREDIT", "NORMAL"))</f>
        <v/>
      </c>
      <c r="G403" s="16">
        <f>(E403-'Stats &amp; 3-Sigma Control Bounds'!$C$6)/'Stats &amp; 3-Sigma Control Bounds'!$C$9</f>
        <v/>
      </c>
      <c r="H403" s="14">
        <f>IF(F403="🚨 ANOMALY SPIKE", "IMMEDIATE ESCALATION TO ENGINEERING", IF(F403="💳 CREDIT", "AUDIT CREDIT ALLOCATION", "APPROVED USAGE"))</f>
        <v/>
      </c>
    </row>
    <row r="404">
      <c r="A404" s="13">
        <f>'Master Cleaned Data Pipeline'!A399</f>
        <v/>
      </c>
      <c r="B404" s="13">
        <f>'Master Cleaned Data Pipeline'!B399</f>
        <v/>
      </c>
      <c r="C404" s="14">
        <f>'Master Cleaned Data Pipeline'!I399</f>
        <v/>
      </c>
      <c r="D404" s="14">
        <f>'Master Cleaned Data Pipeline'!F399</f>
        <v/>
      </c>
      <c r="E404" s="15">
        <f>'Master Cleaned Data Pipeline'!G399</f>
        <v/>
      </c>
      <c r="F404" s="13">
        <f>IF(E404&gt;'Stats &amp; 3-Sigma Control Bounds'!$C$21, "🚨 ANOMALY SPIKE", IF(E404&lt;0, "💳 CREDIT", "NORMAL"))</f>
        <v/>
      </c>
      <c r="G404" s="16">
        <f>(E404-'Stats &amp; 3-Sigma Control Bounds'!$C$6)/'Stats &amp; 3-Sigma Control Bounds'!$C$9</f>
        <v/>
      </c>
      <c r="H404" s="14">
        <f>IF(F404="🚨 ANOMALY SPIKE", "IMMEDIATE ESCALATION TO ENGINEERING", IF(F404="💳 CREDIT", "AUDIT CREDIT ALLOCATION", "APPROVED USAGE"))</f>
        <v/>
      </c>
    </row>
    <row r="405">
      <c r="A405" s="13">
        <f>'Master Cleaned Data Pipeline'!A400</f>
        <v/>
      </c>
      <c r="B405" s="13">
        <f>'Master Cleaned Data Pipeline'!B400</f>
        <v/>
      </c>
      <c r="C405" s="14">
        <f>'Master Cleaned Data Pipeline'!I400</f>
        <v/>
      </c>
      <c r="D405" s="14">
        <f>'Master Cleaned Data Pipeline'!F400</f>
        <v/>
      </c>
      <c r="E405" s="15">
        <f>'Master Cleaned Data Pipeline'!G400</f>
        <v/>
      </c>
      <c r="F405" s="13">
        <f>IF(E405&gt;'Stats &amp; 3-Sigma Control Bounds'!$C$21, "🚨 ANOMALY SPIKE", IF(E405&lt;0, "💳 CREDIT", "NORMAL"))</f>
        <v/>
      </c>
      <c r="G405" s="16">
        <f>(E405-'Stats &amp; 3-Sigma Control Bounds'!$C$6)/'Stats &amp; 3-Sigma Control Bounds'!$C$9</f>
        <v/>
      </c>
      <c r="H405" s="14">
        <f>IF(F405="🚨 ANOMALY SPIKE", "IMMEDIATE ESCALATION TO ENGINEERING", IF(F405="💳 CREDIT", "AUDIT CREDIT ALLOCATION", "APPROVED USAGE"))</f>
        <v/>
      </c>
    </row>
    <row r="406">
      <c r="A406" s="13">
        <f>'Master Cleaned Data Pipeline'!A401</f>
        <v/>
      </c>
      <c r="B406" s="13">
        <f>'Master Cleaned Data Pipeline'!B401</f>
        <v/>
      </c>
      <c r="C406" s="14">
        <f>'Master Cleaned Data Pipeline'!I401</f>
        <v/>
      </c>
      <c r="D406" s="14">
        <f>'Master Cleaned Data Pipeline'!F401</f>
        <v/>
      </c>
      <c r="E406" s="15">
        <f>'Master Cleaned Data Pipeline'!G401</f>
        <v/>
      </c>
      <c r="F406" s="13">
        <f>IF(E406&gt;'Stats &amp; 3-Sigma Control Bounds'!$C$21, "🚨 ANOMALY SPIKE", IF(E406&lt;0, "💳 CREDIT", "NORMAL"))</f>
        <v/>
      </c>
      <c r="G406" s="16">
        <f>(E406-'Stats &amp; 3-Sigma Control Bounds'!$C$6)/'Stats &amp; 3-Sigma Control Bounds'!$C$9</f>
        <v/>
      </c>
      <c r="H406" s="14">
        <f>IF(F406="🚨 ANOMALY SPIKE", "IMMEDIATE ESCALATION TO ENGINEERING", IF(F406="💳 CREDIT", "AUDIT CREDIT ALLOCATION", "APPROVED USAGE"))</f>
        <v/>
      </c>
    </row>
    <row r="407">
      <c r="A407" s="13">
        <f>'Master Cleaned Data Pipeline'!A402</f>
        <v/>
      </c>
      <c r="B407" s="13">
        <f>'Master Cleaned Data Pipeline'!B402</f>
        <v/>
      </c>
      <c r="C407" s="14">
        <f>'Master Cleaned Data Pipeline'!I402</f>
        <v/>
      </c>
      <c r="D407" s="14">
        <f>'Master Cleaned Data Pipeline'!F402</f>
        <v/>
      </c>
      <c r="E407" s="15">
        <f>'Master Cleaned Data Pipeline'!G402</f>
        <v/>
      </c>
      <c r="F407" s="13">
        <f>IF(E407&gt;'Stats &amp; 3-Sigma Control Bounds'!$C$21, "🚨 ANOMALY SPIKE", IF(E407&lt;0, "💳 CREDIT", "NORMAL"))</f>
        <v/>
      </c>
      <c r="G407" s="16">
        <f>(E407-'Stats &amp; 3-Sigma Control Bounds'!$C$6)/'Stats &amp; 3-Sigma Control Bounds'!$C$9</f>
        <v/>
      </c>
      <c r="H407" s="14">
        <f>IF(F407="🚨 ANOMALY SPIKE", "IMMEDIATE ESCALATION TO ENGINEERING", IF(F407="💳 CREDIT", "AUDIT CREDIT ALLOCATION", "APPROVED USAGE"))</f>
        <v/>
      </c>
    </row>
    <row r="408">
      <c r="A408" s="13">
        <f>'Master Cleaned Data Pipeline'!A403</f>
        <v/>
      </c>
      <c r="B408" s="13">
        <f>'Master Cleaned Data Pipeline'!B403</f>
        <v/>
      </c>
      <c r="C408" s="14">
        <f>'Master Cleaned Data Pipeline'!I403</f>
        <v/>
      </c>
      <c r="D408" s="14">
        <f>'Master Cleaned Data Pipeline'!F403</f>
        <v/>
      </c>
      <c r="E408" s="15">
        <f>'Master Cleaned Data Pipeline'!G403</f>
        <v/>
      </c>
      <c r="F408" s="13">
        <f>IF(E408&gt;'Stats &amp; 3-Sigma Control Bounds'!$C$21, "🚨 ANOMALY SPIKE", IF(E408&lt;0, "💳 CREDIT", "NORMAL"))</f>
        <v/>
      </c>
      <c r="G408" s="16">
        <f>(E408-'Stats &amp; 3-Sigma Control Bounds'!$C$6)/'Stats &amp; 3-Sigma Control Bounds'!$C$9</f>
        <v/>
      </c>
      <c r="H408" s="14">
        <f>IF(F408="🚨 ANOMALY SPIKE", "IMMEDIATE ESCALATION TO ENGINEERING", IF(F408="💳 CREDIT", "AUDIT CREDIT ALLOCATION", "APPROVED USAGE"))</f>
        <v/>
      </c>
    </row>
    <row r="409">
      <c r="A409" s="13">
        <f>'Master Cleaned Data Pipeline'!A404</f>
        <v/>
      </c>
      <c r="B409" s="13">
        <f>'Master Cleaned Data Pipeline'!B404</f>
        <v/>
      </c>
      <c r="C409" s="14">
        <f>'Master Cleaned Data Pipeline'!I404</f>
        <v/>
      </c>
      <c r="D409" s="14">
        <f>'Master Cleaned Data Pipeline'!F404</f>
        <v/>
      </c>
      <c r="E409" s="15">
        <f>'Master Cleaned Data Pipeline'!G404</f>
        <v/>
      </c>
      <c r="F409" s="13">
        <f>IF(E409&gt;'Stats &amp; 3-Sigma Control Bounds'!$C$21, "🚨 ANOMALY SPIKE", IF(E409&lt;0, "💳 CREDIT", "NORMAL"))</f>
        <v/>
      </c>
      <c r="G409" s="16">
        <f>(E409-'Stats &amp; 3-Sigma Control Bounds'!$C$6)/'Stats &amp; 3-Sigma Control Bounds'!$C$9</f>
        <v/>
      </c>
      <c r="H409" s="14">
        <f>IF(F409="🚨 ANOMALY SPIKE", "IMMEDIATE ESCALATION TO ENGINEERING", IF(F409="💳 CREDIT", "AUDIT CREDIT ALLOCATION", "APPROVED USAGE"))</f>
        <v/>
      </c>
    </row>
    <row r="410">
      <c r="A410" s="13">
        <f>'Master Cleaned Data Pipeline'!A405</f>
        <v/>
      </c>
      <c r="B410" s="13">
        <f>'Master Cleaned Data Pipeline'!B405</f>
        <v/>
      </c>
      <c r="C410" s="14">
        <f>'Master Cleaned Data Pipeline'!I405</f>
        <v/>
      </c>
      <c r="D410" s="14">
        <f>'Master Cleaned Data Pipeline'!F405</f>
        <v/>
      </c>
      <c r="E410" s="15">
        <f>'Master Cleaned Data Pipeline'!G405</f>
        <v/>
      </c>
      <c r="F410" s="13">
        <f>IF(E410&gt;'Stats &amp; 3-Sigma Control Bounds'!$C$21, "🚨 ANOMALY SPIKE", IF(E410&lt;0, "💳 CREDIT", "NORMAL"))</f>
        <v/>
      </c>
      <c r="G410" s="16">
        <f>(E410-'Stats &amp; 3-Sigma Control Bounds'!$C$6)/'Stats &amp; 3-Sigma Control Bounds'!$C$9</f>
        <v/>
      </c>
      <c r="H410" s="14">
        <f>IF(F410="🚨 ANOMALY SPIKE", "IMMEDIATE ESCALATION TO ENGINEERING", IF(F410="💳 CREDIT", "AUDIT CREDIT ALLOCATION", "APPROVED USAGE"))</f>
        <v/>
      </c>
    </row>
    <row r="411">
      <c r="A411" s="13">
        <f>'Master Cleaned Data Pipeline'!A406</f>
        <v/>
      </c>
      <c r="B411" s="13">
        <f>'Master Cleaned Data Pipeline'!B406</f>
        <v/>
      </c>
      <c r="C411" s="14">
        <f>'Master Cleaned Data Pipeline'!I406</f>
        <v/>
      </c>
      <c r="D411" s="14">
        <f>'Master Cleaned Data Pipeline'!F406</f>
        <v/>
      </c>
      <c r="E411" s="15">
        <f>'Master Cleaned Data Pipeline'!G406</f>
        <v/>
      </c>
      <c r="F411" s="13">
        <f>IF(E411&gt;'Stats &amp; 3-Sigma Control Bounds'!$C$21, "🚨 ANOMALY SPIKE", IF(E411&lt;0, "💳 CREDIT", "NORMAL"))</f>
        <v/>
      </c>
      <c r="G411" s="16">
        <f>(E411-'Stats &amp; 3-Sigma Control Bounds'!$C$6)/'Stats &amp; 3-Sigma Control Bounds'!$C$9</f>
        <v/>
      </c>
      <c r="H411" s="14">
        <f>IF(F411="🚨 ANOMALY SPIKE", "IMMEDIATE ESCALATION TO ENGINEERING", IF(F411="💳 CREDIT", "AUDIT CREDIT ALLOCATION", "APPROVED USAGE"))</f>
        <v/>
      </c>
    </row>
    <row r="412">
      <c r="A412" s="13">
        <f>'Master Cleaned Data Pipeline'!A407</f>
        <v/>
      </c>
      <c r="B412" s="13">
        <f>'Master Cleaned Data Pipeline'!B407</f>
        <v/>
      </c>
      <c r="C412" s="14">
        <f>'Master Cleaned Data Pipeline'!I407</f>
        <v/>
      </c>
      <c r="D412" s="14">
        <f>'Master Cleaned Data Pipeline'!F407</f>
        <v/>
      </c>
      <c r="E412" s="15">
        <f>'Master Cleaned Data Pipeline'!G407</f>
        <v/>
      </c>
      <c r="F412" s="13">
        <f>IF(E412&gt;'Stats &amp; 3-Sigma Control Bounds'!$C$21, "🚨 ANOMALY SPIKE", IF(E412&lt;0, "💳 CREDIT", "NORMAL"))</f>
        <v/>
      </c>
      <c r="G412" s="16">
        <f>(E412-'Stats &amp; 3-Sigma Control Bounds'!$C$6)/'Stats &amp; 3-Sigma Control Bounds'!$C$9</f>
        <v/>
      </c>
      <c r="H412" s="14">
        <f>IF(F412="🚨 ANOMALY SPIKE", "IMMEDIATE ESCALATION TO ENGINEERING", IF(F412="💳 CREDIT", "AUDIT CREDIT ALLOCATION", "APPROVED USAGE"))</f>
        <v/>
      </c>
    </row>
    <row r="413">
      <c r="A413" s="13">
        <f>'Master Cleaned Data Pipeline'!A408</f>
        <v/>
      </c>
      <c r="B413" s="13">
        <f>'Master Cleaned Data Pipeline'!B408</f>
        <v/>
      </c>
      <c r="C413" s="14">
        <f>'Master Cleaned Data Pipeline'!I408</f>
        <v/>
      </c>
      <c r="D413" s="14">
        <f>'Master Cleaned Data Pipeline'!F408</f>
        <v/>
      </c>
      <c r="E413" s="15">
        <f>'Master Cleaned Data Pipeline'!G408</f>
        <v/>
      </c>
      <c r="F413" s="13">
        <f>IF(E413&gt;'Stats &amp; 3-Sigma Control Bounds'!$C$21, "🚨 ANOMALY SPIKE", IF(E413&lt;0, "💳 CREDIT", "NORMAL"))</f>
        <v/>
      </c>
      <c r="G413" s="16">
        <f>(E413-'Stats &amp; 3-Sigma Control Bounds'!$C$6)/'Stats &amp; 3-Sigma Control Bounds'!$C$9</f>
        <v/>
      </c>
      <c r="H413" s="14">
        <f>IF(F413="🚨 ANOMALY SPIKE", "IMMEDIATE ESCALATION TO ENGINEERING", IF(F413="💳 CREDIT", "AUDIT CREDIT ALLOCATION", "APPROVED USAGE"))</f>
        <v/>
      </c>
    </row>
    <row r="414">
      <c r="A414" s="13">
        <f>'Master Cleaned Data Pipeline'!A409</f>
        <v/>
      </c>
      <c r="B414" s="13">
        <f>'Master Cleaned Data Pipeline'!B409</f>
        <v/>
      </c>
      <c r="C414" s="14">
        <f>'Master Cleaned Data Pipeline'!I409</f>
        <v/>
      </c>
      <c r="D414" s="14">
        <f>'Master Cleaned Data Pipeline'!F409</f>
        <v/>
      </c>
      <c r="E414" s="15">
        <f>'Master Cleaned Data Pipeline'!G409</f>
        <v/>
      </c>
      <c r="F414" s="13">
        <f>IF(E414&gt;'Stats &amp; 3-Sigma Control Bounds'!$C$21, "🚨 ANOMALY SPIKE", IF(E414&lt;0, "💳 CREDIT", "NORMAL"))</f>
        <v/>
      </c>
      <c r="G414" s="16">
        <f>(E414-'Stats &amp; 3-Sigma Control Bounds'!$C$6)/'Stats &amp; 3-Sigma Control Bounds'!$C$9</f>
        <v/>
      </c>
      <c r="H414" s="14">
        <f>IF(F414="🚨 ANOMALY SPIKE", "IMMEDIATE ESCALATION TO ENGINEERING", IF(F414="💳 CREDIT", "AUDIT CREDIT ALLOCATION", "APPROVED USAGE"))</f>
        <v/>
      </c>
    </row>
    <row r="415">
      <c r="A415" s="13">
        <f>'Master Cleaned Data Pipeline'!A410</f>
        <v/>
      </c>
      <c r="B415" s="13">
        <f>'Master Cleaned Data Pipeline'!B410</f>
        <v/>
      </c>
      <c r="C415" s="14">
        <f>'Master Cleaned Data Pipeline'!I410</f>
        <v/>
      </c>
      <c r="D415" s="14">
        <f>'Master Cleaned Data Pipeline'!F410</f>
        <v/>
      </c>
      <c r="E415" s="15">
        <f>'Master Cleaned Data Pipeline'!G410</f>
        <v/>
      </c>
      <c r="F415" s="13">
        <f>IF(E415&gt;'Stats &amp; 3-Sigma Control Bounds'!$C$21, "🚨 ANOMALY SPIKE", IF(E415&lt;0, "💳 CREDIT", "NORMAL"))</f>
        <v/>
      </c>
      <c r="G415" s="16">
        <f>(E415-'Stats &amp; 3-Sigma Control Bounds'!$C$6)/'Stats &amp; 3-Sigma Control Bounds'!$C$9</f>
        <v/>
      </c>
      <c r="H415" s="14">
        <f>IF(F415="🚨 ANOMALY SPIKE", "IMMEDIATE ESCALATION TO ENGINEERING", IF(F415="💳 CREDIT", "AUDIT CREDIT ALLOCATION", "APPROVED USAGE"))</f>
        <v/>
      </c>
    </row>
    <row r="416">
      <c r="A416" s="13">
        <f>'Master Cleaned Data Pipeline'!A411</f>
        <v/>
      </c>
      <c r="B416" s="13">
        <f>'Master Cleaned Data Pipeline'!B411</f>
        <v/>
      </c>
      <c r="C416" s="14">
        <f>'Master Cleaned Data Pipeline'!I411</f>
        <v/>
      </c>
      <c r="D416" s="14">
        <f>'Master Cleaned Data Pipeline'!F411</f>
        <v/>
      </c>
      <c r="E416" s="15">
        <f>'Master Cleaned Data Pipeline'!G411</f>
        <v/>
      </c>
      <c r="F416" s="13">
        <f>IF(E416&gt;'Stats &amp; 3-Sigma Control Bounds'!$C$21, "🚨 ANOMALY SPIKE", IF(E416&lt;0, "💳 CREDIT", "NORMAL"))</f>
        <v/>
      </c>
      <c r="G416" s="16">
        <f>(E416-'Stats &amp; 3-Sigma Control Bounds'!$C$6)/'Stats &amp; 3-Sigma Control Bounds'!$C$9</f>
        <v/>
      </c>
      <c r="H416" s="14">
        <f>IF(F416="🚨 ANOMALY SPIKE", "IMMEDIATE ESCALATION TO ENGINEERING", IF(F416="💳 CREDIT", "AUDIT CREDIT ALLOCATION", "APPROVED USAGE"))</f>
        <v/>
      </c>
    </row>
    <row r="417">
      <c r="A417" s="13">
        <f>'Master Cleaned Data Pipeline'!A412</f>
        <v/>
      </c>
      <c r="B417" s="13">
        <f>'Master Cleaned Data Pipeline'!B412</f>
        <v/>
      </c>
      <c r="C417" s="14">
        <f>'Master Cleaned Data Pipeline'!I412</f>
        <v/>
      </c>
      <c r="D417" s="14">
        <f>'Master Cleaned Data Pipeline'!F412</f>
        <v/>
      </c>
      <c r="E417" s="15">
        <f>'Master Cleaned Data Pipeline'!G412</f>
        <v/>
      </c>
      <c r="F417" s="13">
        <f>IF(E417&gt;'Stats &amp; 3-Sigma Control Bounds'!$C$21, "🚨 ANOMALY SPIKE", IF(E417&lt;0, "💳 CREDIT", "NORMAL"))</f>
        <v/>
      </c>
      <c r="G417" s="16">
        <f>(E417-'Stats &amp; 3-Sigma Control Bounds'!$C$6)/'Stats &amp; 3-Sigma Control Bounds'!$C$9</f>
        <v/>
      </c>
      <c r="H417" s="14">
        <f>IF(F417="🚨 ANOMALY SPIKE", "IMMEDIATE ESCALATION TO ENGINEERING", IF(F417="💳 CREDIT", "AUDIT CREDIT ALLOCATION", "APPROVED USAGE"))</f>
        <v/>
      </c>
    </row>
    <row r="418">
      <c r="A418" s="13">
        <f>'Master Cleaned Data Pipeline'!A413</f>
        <v/>
      </c>
      <c r="B418" s="13">
        <f>'Master Cleaned Data Pipeline'!B413</f>
        <v/>
      </c>
      <c r="C418" s="14">
        <f>'Master Cleaned Data Pipeline'!I413</f>
        <v/>
      </c>
      <c r="D418" s="14">
        <f>'Master Cleaned Data Pipeline'!F413</f>
        <v/>
      </c>
      <c r="E418" s="15">
        <f>'Master Cleaned Data Pipeline'!G413</f>
        <v/>
      </c>
      <c r="F418" s="13">
        <f>IF(E418&gt;'Stats &amp; 3-Sigma Control Bounds'!$C$21, "🚨 ANOMALY SPIKE", IF(E418&lt;0, "💳 CREDIT", "NORMAL"))</f>
        <v/>
      </c>
      <c r="G418" s="16">
        <f>(E418-'Stats &amp; 3-Sigma Control Bounds'!$C$6)/'Stats &amp; 3-Sigma Control Bounds'!$C$9</f>
        <v/>
      </c>
      <c r="H418" s="14">
        <f>IF(F418="🚨 ANOMALY SPIKE", "IMMEDIATE ESCALATION TO ENGINEERING", IF(F418="💳 CREDIT", "AUDIT CREDIT ALLOCATION", "APPROVED USAGE"))</f>
        <v/>
      </c>
    </row>
    <row r="419">
      <c r="A419" s="13">
        <f>'Master Cleaned Data Pipeline'!A414</f>
        <v/>
      </c>
      <c r="B419" s="13">
        <f>'Master Cleaned Data Pipeline'!B414</f>
        <v/>
      </c>
      <c r="C419" s="14">
        <f>'Master Cleaned Data Pipeline'!I414</f>
        <v/>
      </c>
      <c r="D419" s="14">
        <f>'Master Cleaned Data Pipeline'!F414</f>
        <v/>
      </c>
      <c r="E419" s="15">
        <f>'Master Cleaned Data Pipeline'!G414</f>
        <v/>
      </c>
      <c r="F419" s="13">
        <f>IF(E419&gt;'Stats &amp; 3-Sigma Control Bounds'!$C$21, "🚨 ANOMALY SPIKE", IF(E419&lt;0, "💳 CREDIT", "NORMAL"))</f>
        <v/>
      </c>
      <c r="G419" s="16">
        <f>(E419-'Stats &amp; 3-Sigma Control Bounds'!$C$6)/'Stats &amp; 3-Sigma Control Bounds'!$C$9</f>
        <v/>
      </c>
      <c r="H419" s="14">
        <f>IF(F419="🚨 ANOMALY SPIKE", "IMMEDIATE ESCALATION TO ENGINEERING", IF(F419="💳 CREDIT", "AUDIT CREDIT ALLOCATION", "APPROVED USAGE"))</f>
        <v/>
      </c>
    </row>
    <row r="420">
      <c r="A420" s="13">
        <f>'Master Cleaned Data Pipeline'!A415</f>
        <v/>
      </c>
      <c r="B420" s="13">
        <f>'Master Cleaned Data Pipeline'!B415</f>
        <v/>
      </c>
      <c r="C420" s="14">
        <f>'Master Cleaned Data Pipeline'!I415</f>
        <v/>
      </c>
      <c r="D420" s="14">
        <f>'Master Cleaned Data Pipeline'!F415</f>
        <v/>
      </c>
      <c r="E420" s="15">
        <f>'Master Cleaned Data Pipeline'!G415</f>
        <v/>
      </c>
      <c r="F420" s="13">
        <f>IF(E420&gt;'Stats &amp; 3-Sigma Control Bounds'!$C$21, "🚨 ANOMALY SPIKE", IF(E420&lt;0, "💳 CREDIT", "NORMAL"))</f>
        <v/>
      </c>
      <c r="G420" s="16">
        <f>(E420-'Stats &amp; 3-Sigma Control Bounds'!$C$6)/'Stats &amp; 3-Sigma Control Bounds'!$C$9</f>
        <v/>
      </c>
      <c r="H420" s="14">
        <f>IF(F420="🚨 ANOMALY SPIKE", "IMMEDIATE ESCALATION TO ENGINEERING", IF(F420="💳 CREDIT", "AUDIT CREDIT ALLOCATION", "APPROVED USAGE"))</f>
        <v/>
      </c>
    </row>
    <row r="421">
      <c r="A421" s="13">
        <f>'Master Cleaned Data Pipeline'!A416</f>
        <v/>
      </c>
      <c r="B421" s="13">
        <f>'Master Cleaned Data Pipeline'!B416</f>
        <v/>
      </c>
      <c r="C421" s="14">
        <f>'Master Cleaned Data Pipeline'!I416</f>
        <v/>
      </c>
      <c r="D421" s="14">
        <f>'Master Cleaned Data Pipeline'!F416</f>
        <v/>
      </c>
      <c r="E421" s="15">
        <f>'Master Cleaned Data Pipeline'!G416</f>
        <v/>
      </c>
      <c r="F421" s="13">
        <f>IF(E421&gt;'Stats &amp; 3-Sigma Control Bounds'!$C$21, "🚨 ANOMALY SPIKE", IF(E421&lt;0, "💳 CREDIT", "NORMAL"))</f>
        <v/>
      </c>
      <c r="G421" s="16">
        <f>(E421-'Stats &amp; 3-Sigma Control Bounds'!$C$6)/'Stats &amp; 3-Sigma Control Bounds'!$C$9</f>
        <v/>
      </c>
      <c r="H421" s="14">
        <f>IF(F421="🚨 ANOMALY SPIKE", "IMMEDIATE ESCALATION TO ENGINEERING", IF(F421="💳 CREDIT", "AUDIT CREDIT ALLOCATION", "APPROVED USAGE"))</f>
        <v/>
      </c>
    </row>
    <row r="422">
      <c r="A422" s="13">
        <f>'Master Cleaned Data Pipeline'!A417</f>
        <v/>
      </c>
      <c r="B422" s="13">
        <f>'Master Cleaned Data Pipeline'!B417</f>
        <v/>
      </c>
      <c r="C422" s="14">
        <f>'Master Cleaned Data Pipeline'!I417</f>
        <v/>
      </c>
      <c r="D422" s="14">
        <f>'Master Cleaned Data Pipeline'!F417</f>
        <v/>
      </c>
      <c r="E422" s="15">
        <f>'Master Cleaned Data Pipeline'!G417</f>
        <v/>
      </c>
      <c r="F422" s="13">
        <f>IF(E422&gt;'Stats &amp; 3-Sigma Control Bounds'!$C$21, "🚨 ANOMALY SPIKE", IF(E422&lt;0, "💳 CREDIT", "NORMAL"))</f>
        <v/>
      </c>
      <c r="G422" s="16">
        <f>(E422-'Stats &amp; 3-Sigma Control Bounds'!$C$6)/'Stats &amp; 3-Sigma Control Bounds'!$C$9</f>
        <v/>
      </c>
      <c r="H422" s="14">
        <f>IF(F422="🚨 ANOMALY SPIKE", "IMMEDIATE ESCALATION TO ENGINEERING", IF(F422="💳 CREDIT", "AUDIT CREDIT ALLOCATION", "APPROVED USAGE"))</f>
        <v/>
      </c>
    </row>
    <row r="423">
      <c r="A423" s="13">
        <f>'Master Cleaned Data Pipeline'!A418</f>
        <v/>
      </c>
      <c r="B423" s="13">
        <f>'Master Cleaned Data Pipeline'!B418</f>
        <v/>
      </c>
      <c r="C423" s="14">
        <f>'Master Cleaned Data Pipeline'!I418</f>
        <v/>
      </c>
      <c r="D423" s="14">
        <f>'Master Cleaned Data Pipeline'!F418</f>
        <v/>
      </c>
      <c r="E423" s="15">
        <f>'Master Cleaned Data Pipeline'!G418</f>
        <v/>
      </c>
      <c r="F423" s="13">
        <f>IF(E423&gt;'Stats &amp; 3-Sigma Control Bounds'!$C$21, "🚨 ANOMALY SPIKE", IF(E423&lt;0, "💳 CREDIT", "NORMAL"))</f>
        <v/>
      </c>
      <c r="G423" s="16">
        <f>(E423-'Stats &amp; 3-Sigma Control Bounds'!$C$6)/'Stats &amp; 3-Sigma Control Bounds'!$C$9</f>
        <v/>
      </c>
      <c r="H423" s="14">
        <f>IF(F423="🚨 ANOMALY SPIKE", "IMMEDIATE ESCALATION TO ENGINEERING", IF(F423="💳 CREDIT", "AUDIT CREDIT ALLOCATION", "APPROVED USAGE"))</f>
        <v/>
      </c>
    </row>
    <row r="424">
      <c r="A424" s="13">
        <f>'Master Cleaned Data Pipeline'!A419</f>
        <v/>
      </c>
      <c r="B424" s="13">
        <f>'Master Cleaned Data Pipeline'!B419</f>
        <v/>
      </c>
      <c r="C424" s="14">
        <f>'Master Cleaned Data Pipeline'!I419</f>
        <v/>
      </c>
      <c r="D424" s="14">
        <f>'Master Cleaned Data Pipeline'!F419</f>
        <v/>
      </c>
      <c r="E424" s="15">
        <f>'Master Cleaned Data Pipeline'!G419</f>
        <v/>
      </c>
      <c r="F424" s="13">
        <f>IF(E424&gt;'Stats &amp; 3-Sigma Control Bounds'!$C$21, "🚨 ANOMALY SPIKE", IF(E424&lt;0, "💳 CREDIT", "NORMAL"))</f>
        <v/>
      </c>
      <c r="G424" s="16">
        <f>(E424-'Stats &amp; 3-Sigma Control Bounds'!$C$6)/'Stats &amp; 3-Sigma Control Bounds'!$C$9</f>
        <v/>
      </c>
      <c r="H424" s="14">
        <f>IF(F424="🚨 ANOMALY SPIKE", "IMMEDIATE ESCALATION TO ENGINEERING", IF(F424="💳 CREDIT", "AUDIT CREDIT ALLOCATION", "APPROVED USAGE"))</f>
        <v/>
      </c>
    </row>
    <row r="425">
      <c r="A425" s="13">
        <f>'Master Cleaned Data Pipeline'!A420</f>
        <v/>
      </c>
      <c r="B425" s="13">
        <f>'Master Cleaned Data Pipeline'!B420</f>
        <v/>
      </c>
      <c r="C425" s="14">
        <f>'Master Cleaned Data Pipeline'!I420</f>
        <v/>
      </c>
      <c r="D425" s="14">
        <f>'Master Cleaned Data Pipeline'!F420</f>
        <v/>
      </c>
      <c r="E425" s="15">
        <f>'Master Cleaned Data Pipeline'!G420</f>
        <v/>
      </c>
      <c r="F425" s="13">
        <f>IF(E425&gt;'Stats &amp; 3-Sigma Control Bounds'!$C$21, "🚨 ANOMALY SPIKE", IF(E425&lt;0, "💳 CREDIT", "NORMAL"))</f>
        <v/>
      </c>
      <c r="G425" s="16">
        <f>(E425-'Stats &amp; 3-Sigma Control Bounds'!$C$6)/'Stats &amp; 3-Sigma Control Bounds'!$C$9</f>
        <v/>
      </c>
      <c r="H425" s="14">
        <f>IF(F425="🚨 ANOMALY SPIKE", "IMMEDIATE ESCALATION TO ENGINEERING", IF(F425="💳 CREDIT", "AUDIT CREDIT ALLOCATION", "APPROVED USAGE"))</f>
        <v/>
      </c>
    </row>
    <row r="426">
      <c r="A426" s="13">
        <f>'Master Cleaned Data Pipeline'!A421</f>
        <v/>
      </c>
      <c r="B426" s="13">
        <f>'Master Cleaned Data Pipeline'!B421</f>
        <v/>
      </c>
      <c r="C426" s="14">
        <f>'Master Cleaned Data Pipeline'!I421</f>
        <v/>
      </c>
      <c r="D426" s="14">
        <f>'Master Cleaned Data Pipeline'!F421</f>
        <v/>
      </c>
      <c r="E426" s="15">
        <f>'Master Cleaned Data Pipeline'!G421</f>
        <v/>
      </c>
      <c r="F426" s="13">
        <f>IF(E426&gt;'Stats &amp; 3-Sigma Control Bounds'!$C$21, "🚨 ANOMALY SPIKE", IF(E426&lt;0, "💳 CREDIT", "NORMAL"))</f>
        <v/>
      </c>
      <c r="G426" s="16">
        <f>(E426-'Stats &amp; 3-Sigma Control Bounds'!$C$6)/'Stats &amp; 3-Sigma Control Bounds'!$C$9</f>
        <v/>
      </c>
      <c r="H426" s="14">
        <f>IF(F426="🚨 ANOMALY SPIKE", "IMMEDIATE ESCALATION TO ENGINEERING", IF(F426="💳 CREDIT", "AUDIT CREDIT ALLOCATION", "APPROVED USAGE"))</f>
        <v/>
      </c>
    </row>
    <row r="427">
      <c r="A427" s="13">
        <f>'Master Cleaned Data Pipeline'!A422</f>
        <v/>
      </c>
      <c r="B427" s="13">
        <f>'Master Cleaned Data Pipeline'!B422</f>
        <v/>
      </c>
      <c r="C427" s="14">
        <f>'Master Cleaned Data Pipeline'!I422</f>
        <v/>
      </c>
      <c r="D427" s="14">
        <f>'Master Cleaned Data Pipeline'!F422</f>
        <v/>
      </c>
      <c r="E427" s="15">
        <f>'Master Cleaned Data Pipeline'!G422</f>
        <v/>
      </c>
      <c r="F427" s="13">
        <f>IF(E427&gt;'Stats &amp; 3-Sigma Control Bounds'!$C$21, "🚨 ANOMALY SPIKE", IF(E427&lt;0, "💳 CREDIT", "NORMAL"))</f>
        <v/>
      </c>
      <c r="G427" s="16">
        <f>(E427-'Stats &amp; 3-Sigma Control Bounds'!$C$6)/'Stats &amp; 3-Sigma Control Bounds'!$C$9</f>
        <v/>
      </c>
      <c r="H427" s="14">
        <f>IF(F427="🚨 ANOMALY SPIKE", "IMMEDIATE ESCALATION TO ENGINEERING", IF(F427="💳 CREDIT", "AUDIT CREDIT ALLOCATION", "APPROVED USAGE"))</f>
        <v/>
      </c>
    </row>
    <row r="428">
      <c r="A428" s="13">
        <f>'Master Cleaned Data Pipeline'!A423</f>
        <v/>
      </c>
      <c r="B428" s="13">
        <f>'Master Cleaned Data Pipeline'!B423</f>
        <v/>
      </c>
      <c r="C428" s="14">
        <f>'Master Cleaned Data Pipeline'!I423</f>
        <v/>
      </c>
      <c r="D428" s="14">
        <f>'Master Cleaned Data Pipeline'!F423</f>
        <v/>
      </c>
      <c r="E428" s="15">
        <f>'Master Cleaned Data Pipeline'!G423</f>
        <v/>
      </c>
      <c r="F428" s="13">
        <f>IF(E428&gt;'Stats &amp; 3-Sigma Control Bounds'!$C$21, "🚨 ANOMALY SPIKE", IF(E428&lt;0, "💳 CREDIT", "NORMAL"))</f>
        <v/>
      </c>
      <c r="G428" s="16">
        <f>(E428-'Stats &amp; 3-Sigma Control Bounds'!$C$6)/'Stats &amp; 3-Sigma Control Bounds'!$C$9</f>
        <v/>
      </c>
      <c r="H428" s="14">
        <f>IF(F428="🚨 ANOMALY SPIKE", "IMMEDIATE ESCALATION TO ENGINEERING", IF(F428="💳 CREDIT", "AUDIT CREDIT ALLOCATION", "APPROVED USAGE"))</f>
        <v/>
      </c>
    </row>
    <row r="429">
      <c r="A429" s="13">
        <f>'Master Cleaned Data Pipeline'!A424</f>
        <v/>
      </c>
      <c r="B429" s="13">
        <f>'Master Cleaned Data Pipeline'!B424</f>
        <v/>
      </c>
      <c r="C429" s="14">
        <f>'Master Cleaned Data Pipeline'!I424</f>
        <v/>
      </c>
      <c r="D429" s="14">
        <f>'Master Cleaned Data Pipeline'!F424</f>
        <v/>
      </c>
      <c r="E429" s="15">
        <f>'Master Cleaned Data Pipeline'!G424</f>
        <v/>
      </c>
      <c r="F429" s="13">
        <f>IF(E429&gt;'Stats &amp; 3-Sigma Control Bounds'!$C$21, "🚨 ANOMALY SPIKE", IF(E429&lt;0, "💳 CREDIT", "NORMAL"))</f>
        <v/>
      </c>
      <c r="G429" s="16">
        <f>(E429-'Stats &amp; 3-Sigma Control Bounds'!$C$6)/'Stats &amp; 3-Sigma Control Bounds'!$C$9</f>
        <v/>
      </c>
      <c r="H429" s="14">
        <f>IF(F429="🚨 ANOMALY SPIKE", "IMMEDIATE ESCALATION TO ENGINEERING", IF(F429="💳 CREDIT", "AUDIT CREDIT ALLOCATION", "APPROVED USAGE"))</f>
        <v/>
      </c>
    </row>
    <row r="430">
      <c r="A430" s="13">
        <f>'Master Cleaned Data Pipeline'!A425</f>
        <v/>
      </c>
      <c r="B430" s="13">
        <f>'Master Cleaned Data Pipeline'!B425</f>
        <v/>
      </c>
      <c r="C430" s="14">
        <f>'Master Cleaned Data Pipeline'!I425</f>
        <v/>
      </c>
      <c r="D430" s="14">
        <f>'Master Cleaned Data Pipeline'!F425</f>
        <v/>
      </c>
      <c r="E430" s="15">
        <f>'Master Cleaned Data Pipeline'!G425</f>
        <v/>
      </c>
      <c r="F430" s="13">
        <f>IF(E430&gt;'Stats &amp; 3-Sigma Control Bounds'!$C$21, "🚨 ANOMALY SPIKE", IF(E430&lt;0, "💳 CREDIT", "NORMAL"))</f>
        <v/>
      </c>
      <c r="G430" s="16">
        <f>(E430-'Stats &amp; 3-Sigma Control Bounds'!$C$6)/'Stats &amp; 3-Sigma Control Bounds'!$C$9</f>
        <v/>
      </c>
      <c r="H430" s="14">
        <f>IF(F430="🚨 ANOMALY SPIKE", "IMMEDIATE ESCALATION TO ENGINEERING", IF(F430="💳 CREDIT", "AUDIT CREDIT ALLOCATION", "APPROVED USAGE"))</f>
        <v/>
      </c>
    </row>
    <row r="431">
      <c r="A431" s="13">
        <f>'Master Cleaned Data Pipeline'!A426</f>
        <v/>
      </c>
      <c r="B431" s="13">
        <f>'Master Cleaned Data Pipeline'!B426</f>
        <v/>
      </c>
      <c r="C431" s="14">
        <f>'Master Cleaned Data Pipeline'!I426</f>
        <v/>
      </c>
      <c r="D431" s="14">
        <f>'Master Cleaned Data Pipeline'!F426</f>
        <v/>
      </c>
      <c r="E431" s="15">
        <f>'Master Cleaned Data Pipeline'!G426</f>
        <v/>
      </c>
      <c r="F431" s="13">
        <f>IF(E431&gt;'Stats &amp; 3-Sigma Control Bounds'!$C$21, "🚨 ANOMALY SPIKE", IF(E431&lt;0, "💳 CREDIT", "NORMAL"))</f>
        <v/>
      </c>
      <c r="G431" s="16">
        <f>(E431-'Stats &amp; 3-Sigma Control Bounds'!$C$6)/'Stats &amp; 3-Sigma Control Bounds'!$C$9</f>
        <v/>
      </c>
      <c r="H431" s="14">
        <f>IF(F431="🚨 ANOMALY SPIKE", "IMMEDIATE ESCALATION TO ENGINEERING", IF(F431="💳 CREDIT", "AUDIT CREDIT ALLOCATION", "APPROVED USAGE"))</f>
        <v/>
      </c>
    </row>
    <row r="432">
      <c r="A432" s="13">
        <f>'Master Cleaned Data Pipeline'!A427</f>
        <v/>
      </c>
      <c r="B432" s="13">
        <f>'Master Cleaned Data Pipeline'!B427</f>
        <v/>
      </c>
      <c r="C432" s="14">
        <f>'Master Cleaned Data Pipeline'!I427</f>
        <v/>
      </c>
      <c r="D432" s="14">
        <f>'Master Cleaned Data Pipeline'!F427</f>
        <v/>
      </c>
      <c r="E432" s="15">
        <f>'Master Cleaned Data Pipeline'!G427</f>
        <v/>
      </c>
      <c r="F432" s="13">
        <f>IF(E432&gt;'Stats &amp; 3-Sigma Control Bounds'!$C$21, "🚨 ANOMALY SPIKE", IF(E432&lt;0, "💳 CREDIT", "NORMAL"))</f>
        <v/>
      </c>
      <c r="G432" s="16">
        <f>(E432-'Stats &amp; 3-Sigma Control Bounds'!$C$6)/'Stats &amp; 3-Sigma Control Bounds'!$C$9</f>
        <v/>
      </c>
      <c r="H432" s="14">
        <f>IF(F432="🚨 ANOMALY SPIKE", "IMMEDIATE ESCALATION TO ENGINEERING", IF(F432="💳 CREDIT", "AUDIT CREDIT ALLOCATION", "APPROVED USAGE"))</f>
        <v/>
      </c>
    </row>
    <row r="433">
      <c r="A433" s="13">
        <f>'Master Cleaned Data Pipeline'!A428</f>
        <v/>
      </c>
      <c r="B433" s="13">
        <f>'Master Cleaned Data Pipeline'!B428</f>
        <v/>
      </c>
      <c r="C433" s="14">
        <f>'Master Cleaned Data Pipeline'!I428</f>
        <v/>
      </c>
      <c r="D433" s="14">
        <f>'Master Cleaned Data Pipeline'!F428</f>
        <v/>
      </c>
      <c r="E433" s="15">
        <f>'Master Cleaned Data Pipeline'!G428</f>
        <v/>
      </c>
      <c r="F433" s="13">
        <f>IF(E433&gt;'Stats &amp; 3-Sigma Control Bounds'!$C$21, "🚨 ANOMALY SPIKE", IF(E433&lt;0, "💳 CREDIT", "NORMAL"))</f>
        <v/>
      </c>
      <c r="G433" s="16">
        <f>(E433-'Stats &amp; 3-Sigma Control Bounds'!$C$6)/'Stats &amp; 3-Sigma Control Bounds'!$C$9</f>
        <v/>
      </c>
      <c r="H433" s="14">
        <f>IF(F433="🚨 ANOMALY SPIKE", "IMMEDIATE ESCALATION TO ENGINEERING", IF(F433="💳 CREDIT", "AUDIT CREDIT ALLOCATION", "APPROVED USAGE"))</f>
        <v/>
      </c>
    </row>
    <row r="434">
      <c r="A434" s="13">
        <f>'Master Cleaned Data Pipeline'!A429</f>
        <v/>
      </c>
      <c r="B434" s="13">
        <f>'Master Cleaned Data Pipeline'!B429</f>
        <v/>
      </c>
      <c r="C434" s="14">
        <f>'Master Cleaned Data Pipeline'!I429</f>
        <v/>
      </c>
      <c r="D434" s="14">
        <f>'Master Cleaned Data Pipeline'!F429</f>
        <v/>
      </c>
      <c r="E434" s="15">
        <f>'Master Cleaned Data Pipeline'!G429</f>
        <v/>
      </c>
      <c r="F434" s="13">
        <f>IF(E434&gt;'Stats &amp; 3-Sigma Control Bounds'!$C$21, "🚨 ANOMALY SPIKE", IF(E434&lt;0, "💳 CREDIT", "NORMAL"))</f>
        <v/>
      </c>
      <c r="G434" s="16">
        <f>(E434-'Stats &amp; 3-Sigma Control Bounds'!$C$6)/'Stats &amp; 3-Sigma Control Bounds'!$C$9</f>
        <v/>
      </c>
      <c r="H434" s="14">
        <f>IF(F434="🚨 ANOMALY SPIKE", "IMMEDIATE ESCALATION TO ENGINEERING", IF(F434="💳 CREDIT", "AUDIT CREDIT ALLOCATION", "APPROVED USAGE"))</f>
        <v/>
      </c>
    </row>
    <row r="435">
      <c r="A435" s="13">
        <f>'Master Cleaned Data Pipeline'!A430</f>
        <v/>
      </c>
      <c r="B435" s="13">
        <f>'Master Cleaned Data Pipeline'!B430</f>
        <v/>
      </c>
      <c r="C435" s="14">
        <f>'Master Cleaned Data Pipeline'!I430</f>
        <v/>
      </c>
      <c r="D435" s="14">
        <f>'Master Cleaned Data Pipeline'!F430</f>
        <v/>
      </c>
      <c r="E435" s="15">
        <f>'Master Cleaned Data Pipeline'!G430</f>
        <v/>
      </c>
      <c r="F435" s="13">
        <f>IF(E435&gt;'Stats &amp; 3-Sigma Control Bounds'!$C$21, "🚨 ANOMALY SPIKE", IF(E435&lt;0, "💳 CREDIT", "NORMAL"))</f>
        <v/>
      </c>
      <c r="G435" s="16">
        <f>(E435-'Stats &amp; 3-Sigma Control Bounds'!$C$6)/'Stats &amp; 3-Sigma Control Bounds'!$C$9</f>
        <v/>
      </c>
      <c r="H435" s="14">
        <f>IF(F435="🚨 ANOMALY SPIKE", "IMMEDIATE ESCALATION TO ENGINEERING", IF(F435="💳 CREDIT", "AUDIT CREDIT ALLOCATION", "APPROVED USAGE"))</f>
        <v/>
      </c>
    </row>
    <row r="436">
      <c r="A436" s="13">
        <f>'Master Cleaned Data Pipeline'!A431</f>
        <v/>
      </c>
      <c r="B436" s="13">
        <f>'Master Cleaned Data Pipeline'!B431</f>
        <v/>
      </c>
      <c r="C436" s="14">
        <f>'Master Cleaned Data Pipeline'!I431</f>
        <v/>
      </c>
      <c r="D436" s="14">
        <f>'Master Cleaned Data Pipeline'!F431</f>
        <v/>
      </c>
      <c r="E436" s="15">
        <f>'Master Cleaned Data Pipeline'!G431</f>
        <v/>
      </c>
      <c r="F436" s="13">
        <f>IF(E436&gt;'Stats &amp; 3-Sigma Control Bounds'!$C$21, "🚨 ANOMALY SPIKE", IF(E436&lt;0, "💳 CREDIT", "NORMAL"))</f>
        <v/>
      </c>
      <c r="G436" s="16">
        <f>(E436-'Stats &amp; 3-Sigma Control Bounds'!$C$6)/'Stats &amp; 3-Sigma Control Bounds'!$C$9</f>
        <v/>
      </c>
      <c r="H436" s="14">
        <f>IF(F436="🚨 ANOMALY SPIKE", "IMMEDIATE ESCALATION TO ENGINEERING", IF(F436="💳 CREDIT", "AUDIT CREDIT ALLOCATION", "APPROVED USAGE"))</f>
        <v/>
      </c>
    </row>
    <row r="437">
      <c r="A437" s="13">
        <f>'Master Cleaned Data Pipeline'!A432</f>
        <v/>
      </c>
      <c r="B437" s="13">
        <f>'Master Cleaned Data Pipeline'!B432</f>
        <v/>
      </c>
      <c r="C437" s="14">
        <f>'Master Cleaned Data Pipeline'!I432</f>
        <v/>
      </c>
      <c r="D437" s="14">
        <f>'Master Cleaned Data Pipeline'!F432</f>
        <v/>
      </c>
      <c r="E437" s="15">
        <f>'Master Cleaned Data Pipeline'!G432</f>
        <v/>
      </c>
      <c r="F437" s="13">
        <f>IF(E437&gt;'Stats &amp; 3-Sigma Control Bounds'!$C$21, "🚨 ANOMALY SPIKE", IF(E437&lt;0, "💳 CREDIT", "NORMAL"))</f>
        <v/>
      </c>
      <c r="G437" s="16">
        <f>(E437-'Stats &amp; 3-Sigma Control Bounds'!$C$6)/'Stats &amp; 3-Sigma Control Bounds'!$C$9</f>
        <v/>
      </c>
      <c r="H437" s="14">
        <f>IF(F437="🚨 ANOMALY SPIKE", "IMMEDIATE ESCALATION TO ENGINEERING", IF(F437="💳 CREDIT", "AUDIT CREDIT ALLOCATION", "APPROVED USAGE"))</f>
        <v/>
      </c>
    </row>
    <row r="438">
      <c r="A438" s="13">
        <f>'Master Cleaned Data Pipeline'!A433</f>
        <v/>
      </c>
      <c r="B438" s="13">
        <f>'Master Cleaned Data Pipeline'!B433</f>
        <v/>
      </c>
      <c r="C438" s="14">
        <f>'Master Cleaned Data Pipeline'!I433</f>
        <v/>
      </c>
      <c r="D438" s="14">
        <f>'Master Cleaned Data Pipeline'!F433</f>
        <v/>
      </c>
      <c r="E438" s="15">
        <f>'Master Cleaned Data Pipeline'!G433</f>
        <v/>
      </c>
      <c r="F438" s="13">
        <f>IF(E438&gt;'Stats &amp; 3-Sigma Control Bounds'!$C$21, "🚨 ANOMALY SPIKE", IF(E438&lt;0, "💳 CREDIT", "NORMAL"))</f>
        <v/>
      </c>
      <c r="G438" s="16">
        <f>(E438-'Stats &amp; 3-Sigma Control Bounds'!$C$6)/'Stats &amp; 3-Sigma Control Bounds'!$C$9</f>
        <v/>
      </c>
      <c r="H438" s="14">
        <f>IF(F438="🚨 ANOMALY SPIKE", "IMMEDIATE ESCALATION TO ENGINEERING", IF(F438="💳 CREDIT", "AUDIT CREDIT ALLOCATION", "APPROVED USAGE"))</f>
        <v/>
      </c>
    </row>
    <row r="439">
      <c r="A439" s="13">
        <f>'Master Cleaned Data Pipeline'!A434</f>
        <v/>
      </c>
      <c r="B439" s="13">
        <f>'Master Cleaned Data Pipeline'!B434</f>
        <v/>
      </c>
      <c r="C439" s="14">
        <f>'Master Cleaned Data Pipeline'!I434</f>
        <v/>
      </c>
      <c r="D439" s="14">
        <f>'Master Cleaned Data Pipeline'!F434</f>
        <v/>
      </c>
      <c r="E439" s="15">
        <f>'Master Cleaned Data Pipeline'!G434</f>
        <v/>
      </c>
      <c r="F439" s="13">
        <f>IF(E439&gt;'Stats &amp; 3-Sigma Control Bounds'!$C$21, "🚨 ANOMALY SPIKE", IF(E439&lt;0, "💳 CREDIT", "NORMAL"))</f>
        <v/>
      </c>
      <c r="G439" s="16">
        <f>(E439-'Stats &amp; 3-Sigma Control Bounds'!$C$6)/'Stats &amp; 3-Sigma Control Bounds'!$C$9</f>
        <v/>
      </c>
      <c r="H439" s="14">
        <f>IF(F439="🚨 ANOMALY SPIKE", "IMMEDIATE ESCALATION TO ENGINEERING", IF(F439="💳 CREDIT", "AUDIT CREDIT ALLOCATION", "APPROVED USAGE"))</f>
        <v/>
      </c>
    </row>
    <row r="440">
      <c r="A440" s="13">
        <f>'Master Cleaned Data Pipeline'!A435</f>
        <v/>
      </c>
      <c r="B440" s="13">
        <f>'Master Cleaned Data Pipeline'!B435</f>
        <v/>
      </c>
      <c r="C440" s="14">
        <f>'Master Cleaned Data Pipeline'!I435</f>
        <v/>
      </c>
      <c r="D440" s="14">
        <f>'Master Cleaned Data Pipeline'!F435</f>
        <v/>
      </c>
      <c r="E440" s="15">
        <f>'Master Cleaned Data Pipeline'!G435</f>
        <v/>
      </c>
      <c r="F440" s="13">
        <f>IF(E440&gt;'Stats &amp; 3-Sigma Control Bounds'!$C$21, "🚨 ANOMALY SPIKE", IF(E440&lt;0, "💳 CREDIT", "NORMAL"))</f>
        <v/>
      </c>
      <c r="G440" s="16">
        <f>(E440-'Stats &amp; 3-Sigma Control Bounds'!$C$6)/'Stats &amp; 3-Sigma Control Bounds'!$C$9</f>
        <v/>
      </c>
      <c r="H440" s="14">
        <f>IF(F440="🚨 ANOMALY SPIKE", "IMMEDIATE ESCALATION TO ENGINEERING", IF(F440="💳 CREDIT", "AUDIT CREDIT ALLOCATION", "APPROVED USAGE"))</f>
        <v/>
      </c>
    </row>
    <row r="441">
      <c r="A441" s="13">
        <f>'Master Cleaned Data Pipeline'!A436</f>
        <v/>
      </c>
      <c r="B441" s="13">
        <f>'Master Cleaned Data Pipeline'!B436</f>
        <v/>
      </c>
      <c r="C441" s="14">
        <f>'Master Cleaned Data Pipeline'!I436</f>
        <v/>
      </c>
      <c r="D441" s="14">
        <f>'Master Cleaned Data Pipeline'!F436</f>
        <v/>
      </c>
      <c r="E441" s="15">
        <f>'Master Cleaned Data Pipeline'!G436</f>
        <v/>
      </c>
      <c r="F441" s="13">
        <f>IF(E441&gt;'Stats &amp; 3-Sigma Control Bounds'!$C$21, "🚨 ANOMALY SPIKE", IF(E441&lt;0, "💳 CREDIT", "NORMAL"))</f>
        <v/>
      </c>
      <c r="G441" s="16">
        <f>(E441-'Stats &amp; 3-Sigma Control Bounds'!$C$6)/'Stats &amp; 3-Sigma Control Bounds'!$C$9</f>
        <v/>
      </c>
      <c r="H441" s="14">
        <f>IF(F441="🚨 ANOMALY SPIKE", "IMMEDIATE ESCALATION TO ENGINEERING", IF(F441="💳 CREDIT", "AUDIT CREDIT ALLOCATION", "APPROVED USAGE"))</f>
        <v/>
      </c>
    </row>
    <row r="442">
      <c r="A442" s="13">
        <f>'Master Cleaned Data Pipeline'!A437</f>
        <v/>
      </c>
      <c r="B442" s="13">
        <f>'Master Cleaned Data Pipeline'!B437</f>
        <v/>
      </c>
      <c r="C442" s="14">
        <f>'Master Cleaned Data Pipeline'!I437</f>
        <v/>
      </c>
      <c r="D442" s="14">
        <f>'Master Cleaned Data Pipeline'!F437</f>
        <v/>
      </c>
      <c r="E442" s="15">
        <f>'Master Cleaned Data Pipeline'!G437</f>
        <v/>
      </c>
      <c r="F442" s="13">
        <f>IF(E442&gt;'Stats &amp; 3-Sigma Control Bounds'!$C$21, "🚨 ANOMALY SPIKE", IF(E442&lt;0, "💳 CREDIT", "NORMAL"))</f>
        <v/>
      </c>
      <c r="G442" s="16">
        <f>(E442-'Stats &amp; 3-Sigma Control Bounds'!$C$6)/'Stats &amp; 3-Sigma Control Bounds'!$C$9</f>
        <v/>
      </c>
      <c r="H442" s="14">
        <f>IF(F442="🚨 ANOMALY SPIKE", "IMMEDIATE ESCALATION TO ENGINEERING", IF(F442="💳 CREDIT", "AUDIT CREDIT ALLOCATION", "APPROVED USAGE"))</f>
        <v/>
      </c>
    </row>
    <row r="443">
      <c r="A443" s="13">
        <f>'Master Cleaned Data Pipeline'!A438</f>
        <v/>
      </c>
      <c r="B443" s="13">
        <f>'Master Cleaned Data Pipeline'!B438</f>
        <v/>
      </c>
      <c r="C443" s="14">
        <f>'Master Cleaned Data Pipeline'!I438</f>
        <v/>
      </c>
      <c r="D443" s="14">
        <f>'Master Cleaned Data Pipeline'!F438</f>
        <v/>
      </c>
      <c r="E443" s="15">
        <f>'Master Cleaned Data Pipeline'!G438</f>
        <v/>
      </c>
      <c r="F443" s="13">
        <f>IF(E443&gt;'Stats &amp; 3-Sigma Control Bounds'!$C$21, "🚨 ANOMALY SPIKE", IF(E443&lt;0, "💳 CREDIT", "NORMAL"))</f>
        <v/>
      </c>
      <c r="G443" s="16">
        <f>(E443-'Stats &amp; 3-Sigma Control Bounds'!$C$6)/'Stats &amp; 3-Sigma Control Bounds'!$C$9</f>
        <v/>
      </c>
      <c r="H443" s="14">
        <f>IF(F443="🚨 ANOMALY SPIKE", "IMMEDIATE ESCALATION TO ENGINEERING", IF(F443="💳 CREDIT", "AUDIT CREDIT ALLOCATION", "APPROVED USAGE"))</f>
        <v/>
      </c>
    </row>
    <row r="444">
      <c r="A444" s="13">
        <f>'Master Cleaned Data Pipeline'!A439</f>
        <v/>
      </c>
      <c r="B444" s="13">
        <f>'Master Cleaned Data Pipeline'!B439</f>
        <v/>
      </c>
      <c r="C444" s="14">
        <f>'Master Cleaned Data Pipeline'!I439</f>
        <v/>
      </c>
      <c r="D444" s="14">
        <f>'Master Cleaned Data Pipeline'!F439</f>
        <v/>
      </c>
      <c r="E444" s="15">
        <f>'Master Cleaned Data Pipeline'!G439</f>
        <v/>
      </c>
      <c r="F444" s="13">
        <f>IF(E444&gt;'Stats &amp; 3-Sigma Control Bounds'!$C$21, "🚨 ANOMALY SPIKE", IF(E444&lt;0, "💳 CREDIT", "NORMAL"))</f>
        <v/>
      </c>
      <c r="G444" s="16">
        <f>(E444-'Stats &amp; 3-Sigma Control Bounds'!$C$6)/'Stats &amp; 3-Sigma Control Bounds'!$C$9</f>
        <v/>
      </c>
      <c r="H444" s="14">
        <f>IF(F444="🚨 ANOMALY SPIKE", "IMMEDIATE ESCALATION TO ENGINEERING", IF(F444="💳 CREDIT", "AUDIT CREDIT ALLOCATION", "APPROVED USAGE"))</f>
        <v/>
      </c>
    </row>
    <row r="445">
      <c r="A445" s="13">
        <f>'Master Cleaned Data Pipeline'!A440</f>
        <v/>
      </c>
      <c r="B445" s="13">
        <f>'Master Cleaned Data Pipeline'!B440</f>
        <v/>
      </c>
      <c r="C445" s="14">
        <f>'Master Cleaned Data Pipeline'!I440</f>
        <v/>
      </c>
      <c r="D445" s="14">
        <f>'Master Cleaned Data Pipeline'!F440</f>
        <v/>
      </c>
      <c r="E445" s="15">
        <f>'Master Cleaned Data Pipeline'!G440</f>
        <v/>
      </c>
      <c r="F445" s="13">
        <f>IF(E445&gt;'Stats &amp; 3-Sigma Control Bounds'!$C$21, "🚨 ANOMALY SPIKE", IF(E445&lt;0, "💳 CREDIT", "NORMAL"))</f>
        <v/>
      </c>
      <c r="G445" s="16">
        <f>(E445-'Stats &amp; 3-Sigma Control Bounds'!$C$6)/'Stats &amp; 3-Sigma Control Bounds'!$C$9</f>
        <v/>
      </c>
      <c r="H445" s="14">
        <f>IF(F445="🚨 ANOMALY SPIKE", "IMMEDIATE ESCALATION TO ENGINEERING", IF(F445="💳 CREDIT", "AUDIT CREDIT ALLOCATION", "APPROVED USAGE"))</f>
        <v/>
      </c>
    </row>
    <row r="446">
      <c r="A446" s="13">
        <f>'Master Cleaned Data Pipeline'!A441</f>
        <v/>
      </c>
      <c r="B446" s="13">
        <f>'Master Cleaned Data Pipeline'!B441</f>
        <v/>
      </c>
      <c r="C446" s="14">
        <f>'Master Cleaned Data Pipeline'!I441</f>
        <v/>
      </c>
      <c r="D446" s="14">
        <f>'Master Cleaned Data Pipeline'!F441</f>
        <v/>
      </c>
      <c r="E446" s="15">
        <f>'Master Cleaned Data Pipeline'!G441</f>
        <v/>
      </c>
      <c r="F446" s="13">
        <f>IF(E446&gt;'Stats &amp; 3-Sigma Control Bounds'!$C$21, "🚨 ANOMALY SPIKE", IF(E446&lt;0, "💳 CREDIT", "NORMAL"))</f>
        <v/>
      </c>
      <c r="G446" s="16">
        <f>(E446-'Stats &amp; 3-Sigma Control Bounds'!$C$6)/'Stats &amp; 3-Sigma Control Bounds'!$C$9</f>
        <v/>
      </c>
      <c r="H446" s="14">
        <f>IF(F446="🚨 ANOMALY SPIKE", "IMMEDIATE ESCALATION TO ENGINEERING", IF(F446="💳 CREDIT", "AUDIT CREDIT ALLOCATION", "APPROVED USAGE"))</f>
        <v/>
      </c>
    </row>
    <row r="447">
      <c r="A447" s="13">
        <f>'Master Cleaned Data Pipeline'!A442</f>
        <v/>
      </c>
      <c r="B447" s="13">
        <f>'Master Cleaned Data Pipeline'!B442</f>
        <v/>
      </c>
      <c r="C447" s="14">
        <f>'Master Cleaned Data Pipeline'!I442</f>
        <v/>
      </c>
      <c r="D447" s="14">
        <f>'Master Cleaned Data Pipeline'!F442</f>
        <v/>
      </c>
      <c r="E447" s="15">
        <f>'Master Cleaned Data Pipeline'!G442</f>
        <v/>
      </c>
      <c r="F447" s="13">
        <f>IF(E447&gt;'Stats &amp; 3-Sigma Control Bounds'!$C$21, "🚨 ANOMALY SPIKE", IF(E447&lt;0, "💳 CREDIT", "NORMAL"))</f>
        <v/>
      </c>
      <c r="G447" s="16">
        <f>(E447-'Stats &amp; 3-Sigma Control Bounds'!$C$6)/'Stats &amp; 3-Sigma Control Bounds'!$C$9</f>
        <v/>
      </c>
      <c r="H447" s="14">
        <f>IF(F447="🚨 ANOMALY SPIKE", "IMMEDIATE ESCALATION TO ENGINEERING", IF(F447="💳 CREDIT", "AUDIT CREDIT ALLOCATION", "APPROVED USAGE"))</f>
        <v/>
      </c>
    </row>
    <row r="448">
      <c r="A448" s="13">
        <f>'Master Cleaned Data Pipeline'!A443</f>
        <v/>
      </c>
      <c r="B448" s="13">
        <f>'Master Cleaned Data Pipeline'!B443</f>
        <v/>
      </c>
      <c r="C448" s="14">
        <f>'Master Cleaned Data Pipeline'!I443</f>
        <v/>
      </c>
      <c r="D448" s="14">
        <f>'Master Cleaned Data Pipeline'!F443</f>
        <v/>
      </c>
      <c r="E448" s="15">
        <f>'Master Cleaned Data Pipeline'!G443</f>
        <v/>
      </c>
      <c r="F448" s="13">
        <f>IF(E448&gt;'Stats &amp; 3-Sigma Control Bounds'!$C$21, "🚨 ANOMALY SPIKE", IF(E448&lt;0, "💳 CREDIT", "NORMAL"))</f>
        <v/>
      </c>
      <c r="G448" s="16">
        <f>(E448-'Stats &amp; 3-Sigma Control Bounds'!$C$6)/'Stats &amp; 3-Sigma Control Bounds'!$C$9</f>
        <v/>
      </c>
      <c r="H448" s="14">
        <f>IF(F448="🚨 ANOMALY SPIKE", "IMMEDIATE ESCALATION TO ENGINEERING", IF(F448="💳 CREDIT", "AUDIT CREDIT ALLOCATION", "APPROVED USAGE"))</f>
        <v/>
      </c>
    </row>
    <row r="449">
      <c r="A449" s="13">
        <f>'Master Cleaned Data Pipeline'!A444</f>
        <v/>
      </c>
      <c r="B449" s="13">
        <f>'Master Cleaned Data Pipeline'!B444</f>
        <v/>
      </c>
      <c r="C449" s="14">
        <f>'Master Cleaned Data Pipeline'!I444</f>
        <v/>
      </c>
      <c r="D449" s="14">
        <f>'Master Cleaned Data Pipeline'!F444</f>
        <v/>
      </c>
      <c r="E449" s="15">
        <f>'Master Cleaned Data Pipeline'!G444</f>
        <v/>
      </c>
      <c r="F449" s="13">
        <f>IF(E449&gt;'Stats &amp; 3-Sigma Control Bounds'!$C$21, "🚨 ANOMALY SPIKE", IF(E449&lt;0, "💳 CREDIT", "NORMAL"))</f>
        <v/>
      </c>
      <c r="G449" s="16">
        <f>(E449-'Stats &amp; 3-Sigma Control Bounds'!$C$6)/'Stats &amp; 3-Sigma Control Bounds'!$C$9</f>
        <v/>
      </c>
      <c r="H449" s="14">
        <f>IF(F449="🚨 ANOMALY SPIKE", "IMMEDIATE ESCALATION TO ENGINEERING", IF(F449="💳 CREDIT", "AUDIT CREDIT ALLOCATION", "APPROVED USAGE"))</f>
        <v/>
      </c>
    </row>
    <row r="450">
      <c r="A450" s="13">
        <f>'Master Cleaned Data Pipeline'!A445</f>
        <v/>
      </c>
      <c r="B450" s="13">
        <f>'Master Cleaned Data Pipeline'!B445</f>
        <v/>
      </c>
      <c r="C450" s="14">
        <f>'Master Cleaned Data Pipeline'!I445</f>
        <v/>
      </c>
      <c r="D450" s="14">
        <f>'Master Cleaned Data Pipeline'!F445</f>
        <v/>
      </c>
      <c r="E450" s="15">
        <f>'Master Cleaned Data Pipeline'!G445</f>
        <v/>
      </c>
      <c r="F450" s="13">
        <f>IF(E450&gt;'Stats &amp; 3-Sigma Control Bounds'!$C$21, "🚨 ANOMALY SPIKE", IF(E450&lt;0, "💳 CREDIT", "NORMAL"))</f>
        <v/>
      </c>
      <c r="G450" s="16">
        <f>(E450-'Stats &amp; 3-Sigma Control Bounds'!$C$6)/'Stats &amp; 3-Sigma Control Bounds'!$C$9</f>
        <v/>
      </c>
      <c r="H450" s="14">
        <f>IF(F450="🚨 ANOMALY SPIKE", "IMMEDIATE ESCALATION TO ENGINEERING", IF(F450="💳 CREDIT", "AUDIT CREDIT ALLOCATION", "APPROVED USAGE"))</f>
        <v/>
      </c>
    </row>
    <row r="451">
      <c r="A451" s="13">
        <f>'Master Cleaned Data Pipeline'!A446</f>
        <v/>
      </c>
      <c r="B451" s="13">
        <f>'Master Cleaned Data Pipeline'!B446</f>
        <v/>
      </c>
      <c r="C451" s="14">
        <f>'Master Cleaned Data Pipeline'!I446</f>
        <v/>
      </c>
      <c r="D451" s="14">
        <f>'Master Cleaned Data Pipeline'!F446</f>
        <v/>
      </c>
      <c r="E451" s="15">
        <f>'Master Cleaned Data Pipeline'!G446</f>
        <v/>
      </c>
      <c r="F451" s="13">
        <f>IF(E451&gt;'Stats &amp; 3-Sigma Control Bounds'!$C$21, "🚨 ANOMALY SPIKE", IF(E451&lt;0, "💳 CREDIT", "NORMAL"))</f>
        <v/>
      </c>
      <c r="G451" s="16">
        <f>(E451-'Stats &amp; 3-Sigma Control Bounds'!$C$6)/'Stats &amp; 3-Sigma Control Bounds'!$C$9</f>
        <v/>
      </c>
      <c r="H451" s="14">
        <f>IF(F451="🚨 ANOMALY SPIKE", "IMMEDIATE ESCALATION TO ENGINEERING", IF(F451="💳 CREDIT", "AUDIT CREDIT ALLOCATION", "APPROVED USAGE"))</f>
        <v/>
      </c>
    </row>
    <row r="452">
      <c r="A452" s="13">
        <f>'Master Cleaned Data Pipeline'!A447</f>
        <v/>
      </c>
      <c r="B452" s="13">
        <f>'Master Cleaned Data Pipeline'!B447</f>
        <v/>
      </c>
      <c r="C452" s="14">
        <f>'Master Cleaned Data Pipeline'!I447</f>
        <v/>
      </c>
      <c r="D452" s="14">
        <f>'Master Cleaned Data Pipeline'!F447</f>
        <v/>
      </c>
      <c r="E452" s="15">
        <f>'Master Cleaned Data Pipeline'!G447</f>
        <v/>
      </c>
      <c r="F452" s="13">
        <f>IF(E452&gt;'Stats &amp; 3-Sigma Control Bounds'!$C$21, "🚨 ANOMALY SPIKE", IF(E452&lt;0, "💳 CREDIT", "NORMAL"))</f>
        <v/>
      </c>
      <c r="G452" s="16">
        <f>(E452-'Stats &amp; 3-Sigma Control Bounds'!$C$6)/'Stats &amp; 3-Sigma Control Bounds'!$C$9</f>
        <v/>
      </c>
      <c r="H452" s="14">
        <f>IF(F452="🚨 ANOMALY SPIKE", "IMMEDIATE ESCALATION TO ENGINEERING", IF(F452="💳 CREDIT", "AUDIT CREDIT ALLOCATION", "APPROVED USAGE"))</f>
        <v/>
      </c>
    </row>
    <row r="453">
      <c r="A453" s="13">
        <f>'Master Cleaned Data Pipeline'!A448</f>
        <v/>
      </c>
      <c r="B453" s="13">
        <f>'Master Cleaned Data Pipeline'!B448</f>
        <v/>
      </c>
      <c r="C453" s="14">
        <f>'Master Cleaned Data Pipeline'!I448</f>
        <v/>
      </c>
      <c r="D453" s="14">
        <f>'Master Cleaned Data Pipeline'!F448</f>
        <v/>
      </c>
      <c r="E453" s="15">
        <f>'Master Cleaned Data Pipeline'!G448</f>
        <v/>
      </c>
      <c r="F453" s="13">
        <f>IF(E453&gt;'Stats &amp; 3-Sigma Control Bounds'!$C$21, "🚨 ANOMALY SPIKE", IF(E453&lt;0, "💳 CREDIT", "NORMAL"))</f>
        <v/>
      </c>
      <c r="G453" s="16">
        <f>(E453-'Stats &amp; 3-Sigma Control Bounds'!$C$6)/'Stats &amp; 3-Sigma Control Bounds'!$C$9</f>
        <v/>
      </c>
      <c r="H453" s="14">
        <f>IF(F453="🚨 ANOMALY SPIKE", "IMMEDIATE ESCALATION TO ENGINEERING", IF(F453="💳 CREDIT", "AUDIT CREDIT ALLOCATION", "APPROVED USAGE"))</f>
        <v/>
      </c>
    </row>
    <row r="454">
      <c r="A454" s="13">
        <f>'Master Cleaned Data Pipeline'!A449</f>
        <v/>
      </c>
      <c r="B454" s="13">
        <f>'Master Cleaned Data Pipeline'!B449</f>
        <v/>
      </c>
      <c r="C454" s="14">
        <f>'Master Cleaned Data Pipeline'!I449</f>
        <v/>
      </c>
      <c r="D454" s="14">
        <f>'Master Cleaned Data Pipeline'!F449</f>
        <v/>
      </c>
      <c r="E454" s="15">
        <f>'Master Cleaned Data Pipeline'!G449</f>
        <v/>
      </c>
      <c r="F454" s="13">
        <f>IF(E454&gt;'Stats &amp; 3-Sigma Control Bounds'!$C$21, "🚨 ANOMALY SPIKE", IF(E454&lt;0, "💳 CREDIT", "NORMAL"))</f>
        <v/>
      </c>
      <c r="G454" s="16">
        <f>(E454-'Stats &amp; 3-Sigma Control Bounds'!$C$6)/'Stats &amp; 3-Sigma Control Bounds'!$C$9</f>
        <v/>
      </c>
      <c r="H454" s="14">
        <f>IF(F454="🚨 ANOMALY SPIKE", "IMMEDIATE ESCALATION TO ENGINEERING", IF(F454="💳 CREDIT", "AUDIT CREDIT ALLOCATION", "APPROVED USAGE"))</f>
        <v/>
      </c>
    </row>
    <row r="455">
      <c r="A455" s="13">
        <f>'Master Cleaned Data Pipeline'!A450</f>
        <v/>
      </c>
      <c r="B455" s="13">
        <f>'Master Cleaned Data Pipeline'!B450</f>
        <v/>
      </c>
      <c r="C455" s="14">
        <f>'Master Cleaned Data Pipeline'!I450</f>
        <v/>
      </c>
      <c r="D455" s="14">
        <f>'Master Cleaned Data Pipeline'!F450</f>
        <v/>
      </c>
      <c r="E455" s="15">
        <f>'Master Cleaned Data Pipeline'!G450</f>
        <v/>
      </c>
      <c r="F455" s="13">
        <f>IF(E455&gt;'Stats &amp; 3-Sigma Control Bounds'!$C$21, "🚨 ANOMALY SPIKE", IF(E455&lt;0, "💳 CREDIT", "NORMAL"))</f>
        <v/>
      </c>
      <c r="G455" s="16">
        <f>(E455-'Stats &amp; 3-Sigma Control Bounds'!$C$6)/'Stats &amp; 3-Sigma Control Bounds'!$C$9</f>
        <v/>
      </c>
      <c r="H455" s="14">
        <f>IF(F455="🚨 ANOMALY SPIKE", "IMMEDIATE ESCALATION TO ENGINEERING", IF(F455="💳 CREDIT", "AUDIT CREDIT ALLOCATION", "APPROVED USAGE"))</f>
        <v/>
      </c>
    </row>
    <row r="456">
      <c r="A456" s="13">
        <f>'Master Cleaned Data Pipeline'!A451</f>
        <v/>
      </c>
      <c r="B456" s="13">
        <f>'Master Cleaned Data Pipeline'!B451</f>
        <v/>
      </c>
      <c r="C456" s="14">
        <f>'Master Cleaned Data Pipeline'!I451</f>
        <v/>
      </c>
      <c r="D456" s="14">
        <f>'Master Cleaned Data Pipeline'!F451</f>
        <v/>
      </c>
      <c r="E456" s="15">
        <f>'Master Cleaned Data Pipeline'!G451</f>
        <v/>
      </c>
      <c r="F456" s="13">
        <f>IF(E456&gt;'Stats &amp; 3-Sigma Control Bounds'!$C$21, "🚨 ANOMALY SPIKE", IF(E456&lt;0, "💳 CREDIT", "NORMAL"))</f>
        <v/>
      </c>
      <c r="G456" s="16">
        <f>(E456-'Stats &amp; 3-Sigma Control Bounds'!$C$6)/'Stats &amp; 3-Sigma Control Bounds'!$C$9</f>
        <v/>
      </c>
      <c r="H456" s="14">
        <f>IF(F456="🚨 ANOMALY SPIKE", "IMMEDIATE ESCALATION TO ENGINEERING", IF(F456="💳 CREDIT", "AUDIT CREDIT ALLOCATION", "APPROVED USAGE"))</f>
        <v/>
      </c>
    </row>
    <row r="457">
      <c r="A457" s="13">
        <f>'Master Cleaned Data Pipeline'!A452</f>
        <v/>
      </c>
      <c r="B457" s="13">
        <f>'Master Cleaned Data Pipeline'!B452</f>
        <v/>
      </c>
      <c r="C457" s="14">
        <f>'Master Cleaned Data Pipeline'!I452</f>
        <v/>
      </c>
      <c r="D457" s="14">
        <f>'Master Cleaned Data Pipeline'!F452</f>
        <v/>
      </c>
      <c r="E457" s="15">
        <f>'Master Cleaned Data Pipeline'!G452</f>
        <v/>
      </c>
      <c r="F457" s="13">
        <f>IF(E457&gt;'Stats &amp; 3-Sigma Control Bounds'!$C$21, "🚨 ANOMALY SPIKE", IF(E457&lt;0, "💳 CREDIT", "NORMAL"))</f>
        <v/>
      </c>
      <c r="G457" s="16">
        <f>(E457-'Stats &amp; 3-Sigma Control Bounds'!$C$6)/'Stats &amp; 3-Sigma Control Bounds'!$C$9</f>
        <v/>
      </c>
      <c r="H457" s="14">
        <f>IF(F457="🚨 ANOMALY SPIKE", "IMMEDIATE ESCALATION TO ENGINEERING", IF(F457="💳 CREDIT", "AUDIT CREDIT ALLOCATION", "APPROVED USAGE"))</f>
        <v/>
      </c>
    </row>
    <row r="458">
      <c r="A458" s="13">
        <f>'Master Cleaned Data Pipeline'!A453</f>
        <v/>
      </c>
      <c r="B458" s="13">
        <f>'Master Cleaned Data Pipeline'!B453</f>
        <v/>
      </c>
      <c r="C458" s="14">
        <f>'Master Cleaned Data Pipeline'!I453</f>
        <v/>
      </c>
      <c r="D458" s="14">
        <f>'Master Cleaned Data Pipeline'!F453</f>
        <v/>
      </c>
      <c r="E458" s="15">
        <f>'Master Cleaned Data Pipeline'!G453</f>
        <v/>
      </c>
      <c r="F458" s="13">
        <f>IF(E458&gt;'Stats &amp; 3-Sigma Control Bounds'!$C$21, "🚨 ANOMALY SPIKE", IF(E458&lt;0, "💳 CREDIT", "NORMAL"))</f>
        <v/>
      </c>
      <c r="G458" s="16">
        <f>(E458-'Stats &amp; 3-Sigma Control Bounds'!$C$6)/'Stats &amp; 3-Sigma Control Bounds'!$C$9</f>
        <v/>
      </c>
      <c r="H458" s="14">
        <f>IF(F458="🚨 ANOMALY SPIKE", "IMMEDIATE ESCALATION TO ENGINEERING", IF(F458="💳 CREDIT", "AUDIT CREDIT ALLOCATION", "APPROVED USAGE"))</f>
        <v/>
      </c>
    </row>
    <row r="459">
      <c r="A459" s="13">
        <f>'Master Cleaned Data Pipeline'!A454</f>
        <v/>
      </c>
      <c r="B459" s="13">
        <f>'Master Cleaned Data Pipeline'!B454</f>
        <v/>
      </c>
      <c r="C459" s="14">
        <f>'Master Cleaned Data Pipeline'!I454</f>
        <v/>
      </c>
      <c r="D459" s="14">
        <f>'Master Cleaned Data Pipeline'!F454</f>
        <v/>
      </c>
      <c r="E459" s="15">
        <f>'Master Cleaned Data Pipeline'!G454</f>
        <v/>
      </c>
      <c r="F459" s="13">
        <f>IF(E459&gt;'Stats &amp; 3-Sigma Control Bounds'!$C$21, "🚨 ANOMALY SPIKE", IF(E459&lt;0, "💳 CREDIT", "NORMAL"))</f>
        <v/>
      </c>
      <c r="G459" s="16">
        <f>(E459-'Stats &amp; 3-Sigma Control Bounds'!$C$6)/'Stats &amp; 3-Sigma Control Bounds'!$C$9</f>
        <v/>
      </c>
      <c r="H459" s="14">
        <f>IF(F459="🚨 ANOMALY SPIKE", "IMMEDIATE ESCALATION TO ENGINEERING", IF(F459="💳 CREDIT", "AUDIT CREDIT ALLOCATION", "APPROVED USAGE"))</f>
        <v/>
      </c>
    </row>
    <row r="460">
      <c r="A460" s="13">
        <f>'Master Cleaned Data Pipeline'!A455</f>
        <v/>
      </c>
      <c r="B460" s="13">
        <f>'Master Cleaned Data Pipeline'!B455</f>
        <v/>
      </c>
      <c r="C460" s="14">
        <f>'Master Cleaned Data Pipeline'!I455</f>
        <v/>
      </c>
      <c r="D460" s="14">
        <f>'Master Cleaned Data Pipeline'!F455</f>
        <v/>
      </c>
      <c r="E460" s="15">
        <f>'Master Cleaned Data Pipeline'!G455</f>
        <v/>
      </c>
      <c r="F460" s="13">
        <f>IF(E460&gt;'Stats &amp; 3-Sigma Control Bounds'!$C$21, "🚨 ANOMALY SPIKE", IF(E460&lt;0, "💳 CREDIT", "NORMAL"))</f>
        <v/>
      </c>
      <c r="G460" s="16">
        <f>(E460-'Stats &amp; 3-Sigma Control Bounds'!$C$6)/'Stats &amp; 3-Sigma Control Bounds'!$C$9</f>
        <v/>
      </c>
      <c r="H460" s="14">
        <f>IF(F460="🚨 ANOMALY SPIKE", "IMMEDIATE ESCALATION TO ENGINEERING", IF(F460="💳 CREDIT", "AUDIT CREDIT ALLOCATION", "APPROVED USAGE"))</f>
        <v/>
      </c>
    </row>
    <row r="461">
      <c r="A461" s="13">
        <f>'Master Cleaned Data Pipeline'!A456</f>
        <v/>
      </c>
      <c r="B461" s="13">
        <f>'Master Cleaned Data Pipeline'!B456</f>
        <v/>
      </c>
      <c r="C461" s="14">
        <f>'Master Cleaned Data Pipeline'!I456</f>
        <v/>
      </c>
      <c r="D461" s="14">
        <f>'Master Cleaned Data Pipeline'!F456</f>
        <v/>
      </c>
      <c r="E461" s="15">
        <f>'Master Cleaned Data Pipeline'!G456</f>
        <v/>
      </c>
      <c r="F461" s="13">
        <f>IF(E461&gt;'Stats &amp; 3-Sigma Control Bounds'!$C$21, "🚨 ANOMALY SPIKE", IF(E461&lt;0, "💳 CREDIT", "NORMAL"))</f>
        <v/>
      </c>
      <c r="G461" s="16">
        <f>(E461-'Stats &amp; 3-Sigma Control Bounds'!$C$6)/'Stats &amp; 3-Sigma Control Bounds'!$C$9</f>
        <v/>
      </c>
      <c r="H461" s="14">
        <f>IF(F461="🚨 ANOMALY SPIKE", "IMMEDIATE ESCALATION TO ENGINEERING", IF(F461="💳 CREDIT", "AUDIT CREDIT ALLOCATION", "APPROVED USAGE"))</f>
        <v/>
      </c>
    </row>
    <row r="462">
      <c r="A462" s="13">
        <f>'Master Cleaned Data Pipeline'!A457</f>
        <v/>
      </c>
      <c r="B462" s="13">
        <f>'Master Cleaned Data Pipeline'!B457</f>
        <v/>
      </c>
      <c r="C462" s="14">
        <f>'Master Cleaned Data Pipeline'!I457</f>
        <v/>
      </c>
      <c r="D462" s="14">
        <f>'Master Cleaned Data Pipeline'!F457</f>
        <v/>
      </c>
      <c r="E462" s="15">
        <f>'Master Cleaned Data Pipeline'!G457</f>
        <v/>
      </c>
      <c r="F462" s="13">
        <f>IF(E462&gt;'Stats &amp; 3-Sigma Control Bounds'!$C$21, "🚨 ANOMALY SPIKE", IF(E462&lt;0, "💳 CREDIT", "NORMAL"))</f>
        <v/>
      </c>
      <c r="G462" s="16">
        <f>(E462-'Stats &amp; 3-Sigma Control Bounds'!$C$6)/'Stats &amp; 3-Sigma Control Bounds'!$C$9</f>
        <v/>
      </c>
      <c r="H462" s="14">
        <f>IF(F462="🚨 ANOMALY SPIKE", "IMMEDIATE ESCALATION TO ENGINEERING", IF(F462="💳 CREDIT", "AUDIT CREDIT ALLOCATION", "APPROVED USAGE"))</f>
        <v/>
      </c>
    </row>
    <row r="463">
      <c r="A463" s="13">
        <f>'Master Cleaned Data Pipeline'!A458</f>
        <v/>
      </c>
      <c r="B463" s="13">
        <f>'Master Cleaned Data Pipeline'!B458</f>
        <v/>
      </c>
      <c r="C463" s="14">
        <f>'Master Cleaned Data Pipeline'!I458</f>
        <v/>
      </c>
      <c r="D463" s="14">
        <f>'Master Cleaned Data Pipeline'!F458</f>
        <v/>
      </c>
      <c r="E463" s="15">
        <f>'Master Cleaned Data Pipeline'!G458</f>
        <v/>
      </c>
      <c r="F463" s="13">
        <f>IF(E463&gt;'Stats &amp; 3-Sigma Control Bounds'!$C$21, "🚨 ANOMALY SPIKE", IF(E463&lt;0, "💳 CREDIT", "NORMAL"))</f>
        <v/>
      </c>
      <c r="G463" s="16">
        <f>(E463-'Stats &amp; 3-Sigma Control Bounds'!$C$6)/'Stats &amp; 3-Sigma Control Bounds'!$C$9</f>
        <v/>
      </c>
      <c r="H463" s="14">
        <f>IF(F463="🚨 ANOMALY SPIKE", "IMMEDIATE ESCALATION TO ENGINEERING", IF(F463="💳 CREDIT", "AUDIT CREDIT ALLOCATION", "APPROVED USAGE"))</f>
        <v/>
      </c>
    </row>
    <row r="464">
      <c r="A464" s="13">
        <f>'Master Cleaned Data Pipeline'!A459</f>
        <v/>
      </c>
      <c r="B464" s="13">
        <f>'Master Cleaned Data Pipeline'!B459</f>
        <v/>
      </c>
      <c r="C464" s="14">
        <f>'Master Cleaned Data Pipeline'!I459</f>
        <v/>
      </c>
      <c r="D464" s="14">
        <f>'Master Cleaned Data Pipeline'!F459</f>
        <v/>
      </c>
      <c r="E464" s="15">
        <f>'Master Cleaned Data Pipeline'!G459</f>
        <v/>
      </c>
      <c r="F464" s="13">
        <f>IF(E464&gt;'Stats &amp; 3-Sigma Control Bounds'!$C$21, "🚨 ANOMALY SPIKE", IF(E464&lt;0, "💳 CREDIT", "NORMAL"))</f>
        <v/>
      </c>
      <c r="G464" s="16">
        <f>(E464-'Stats &amp; 3-Sigma Control Bounds'!$C$6)/'Stats &amp; 3-Sigma Control Bounds'!$C$9</f>
        <v/>
      </c>
      <c r="H464" s="14">
        <f>IF(F464="🚨 ANOMALY SPIKE", "IMMEDIATE ESCALATION TO ENGINEERING", IF(F464="💳 CREDIT", "AUDIT CREDIT ALLOCATION", "APPROVED USAGE"))</f>
        <v/>
      </c>
    </row>
    <row r="465">
      <c r="A465" s="13">
        <f>'Master Cleaned Data Pipeline'!A460</f>
        <v/>
      </c>
      <c r="B465" s="13">
        <f>'Master Cleaned Data Pipeline'!B460</f>
        <v/>
      </c>
      <c r="C465" s="14">
        <f>'Master Cleaned Data Pipeline'!I460</f>
        <v/>
      </c>
      <c r="D465" s="14">
        <f>'Master Cleaned Data Pipeline'!F460</f>
        <v/>
      </c>
      <c r="E465" s="15">
        <f>'Master Cleaned Data Pipeline'!G460</f>
        <v/>
      </c>
      <c r="F465" s="13">
        <f>IF(E465&gt;'Stats &amp; 3-Sigma Control Bounds'!$C$21, "🚨 ANOMALY SPIKE", IF(E465&lt;0, "💳 CREDIT", "NORMAL"))</f>
        <v/>
      </c>
      <c r="G465" s="16">
        <f>(E465-'Stats &amp; 3-Sigma Control Bounds'!$C$6)/'Stats &amp; 3-Sigma Control Bounds'!$C$9</f>
        <v/>
      </c>
      <c r="H465" s="14">
        <f>IF(F465="🚨 ANOMALY SPIKE", "IMMEDIATE ESCALATION TO ENGINEERING", IF(F465="💳 CREDIT", "AUDIT CREDIT ALLOCATION", "APPROVED USAGE"))</f>
        <v/>
      </c>
    </row>
    <row r="466">
      <c r="A466" s="13">
        <f>'Master Cleaned Data Pipeline'!A461</f>
        <v/>
      </c>
      <c r="B466" s="13">
        <f>'Master Cleaned Data Pipeline'!B461</f>
        <v/>
      </c>
      <c r="C466" s="14">
        <f>'Master Cleaned Data Pipeline'!I461</f>
        <v/>
      </c>
      <c r="D466" s="14">
        <f>'Master Cleaned Data Pipeline'!F461</f>
        <v/>
      </c>
      <c r="E466" s="15">
        <f>'Master Cleaned Data Pipeline'!G461</f>
        <v/>
      </c>
      <c r="F466" s="13">
        <f>IF(E466&gt;'Stats &amp; 3-Sigma Control Bounds'!$C$21, "🚨 ANOMALY SPIKE", IF(E466&lt;0, "💳 CREDIT", "NORMAL"))</f>
        <v/>
      </c>
      <c r="G466" s="16">
        <f>(E466-'Stats &amp; 3-Sigma Control Bounds'!$C$6)/'Stats &amp; 3-Sigma Control Bounds'!$C$9</f>
        <v/>
      </c>
      <c r="H466" s="14">
        <f>IF(F466="🚨 ANOMALY SPIKE", "IMMEDIATE ESCALATION TO ENGINEERING", IF(F466="💳 CREDIT", "AUDIT CREDIT ALLOCATION", "APPROVED USAGE"))</f>
        <v/>
      </c>
    </row>
    <row r="467">
      <c r="A467" s="13">
        <f>'Master Cleaned Data Pipeline'!A462</f>
        <v/>
      </c>
      <c r="B467" s="13">
        <f>'Master Cleaned Data Pipeline'!B462</f>
        <v/>
      </c>
      <c r="C467" s="14">
        <f>'Master Cleaned Data Pipeline'!I462</f>
        <v/>
      </c>
      <c r="D467" s="14">
        <f>'Master Cleaned Data Pipeline'!F462</f>
        <v/>
      </c>
      <c r="E467" s="15">
        <f>'Master Cleaned Data Pipeline'!G462</f>
        <v/>
      </c>
      <c r="F467" s="13">
        <f>IF(E467&gt;'Stats &amp; 3-Sigma Control Bounds'!$C$21, "🚨 ANOMALY SPIKE", IF(E467&lt;0, "💳 CREDIT", "NORMAL"))</f>
        <v/>
      </c>
      <c r="G467" s="16">
        <f>(E467-'Stats &amp; 3-Sigma Control Bounds'!$C$6)/'Stats &amp; 3-Sigma Control Bounds'!$C$9</f>
        <v/>
      </c>
      <c r="H467" s="14">
        <f>IF(F467="🚨 ANOMALY SPIKE", "IMMEDIATE ESCALATION TO ENGINEERING", IF(F467="💳 CREDIT", "AUDIT CREDIT ALLOCATION", "APPROVED USAGE"))</f>
        <v/>
      </c>
    </row>
    <row r="468">
      <c r="A468" s="13">
        <f>'Master Cleaned Data Pipeline'!A463</f>
        <v/>
      </c>
      <c r="B468" s="13">
        <f>'Master Cleaned Data Pipeline'!B463</f>
        <v/>
      </c>
      <c r="C468" s="14">
        <f>'Master Cleaned Data Pipeline'!I463</f>
        <v/>
      </c>
      <c r="D468" s="14">
        <f>'Master Cleaned Data Pipeline'!F463</f>
        <v/>
      </c>
      <c r="E468" s="15">
        <f>'Master Cleaned Data Pipeline'!G463</f>
        <v/>
      </c>
      <c r="F468" s="13">
        <f>IF(E468&gt;'Stats &amp; 3-Sigma Control Bounds'!$C$21, "🚨 ANOMALY SPIKE", IF(E468&lt;0, "💳 CREDIT", "NORMAL"))</f>
        <v/>
      </c>
      <c r="G468" s="16">
        <f>(E468-'Stats &amp; 3-Sigma Control Bounds'!$C$6)/'Stats &amp; 3-Sigma Control Bounds'!$C$9</f>
        <v/>
      </c>
      <c r="H468" s="14">
        <f>IF(F468="🚨 ANOMALY SPIKE", "IMMEDIATE ESCALATION TO ENGINEERING", IF(F468="💳 CREDIT", "AUDIT CREDIT ALLOCATION", "APPROVED USAGE"))</f>
        <v/>
      </c>
    </row>
    <row r="469">
      <c r="A469" s="13">
        <f>'Master Cleaned Data Pipeline'!A464</f>
        <v/>
      </c>
      <c r="B469" s="13">
        <f>'Master Cleaned Data Pipeline'!B464</f>
        <v/>
      </c>
      <c r="C469" s="14">
        <f>'Master Cleaned Data Pipeline'!I464</f>
        <v/>
      </c>
      <c r="D469" s="14">
        <f>'Master Cleaned Data Pipeline'!F464</f>
        <v/>
      </c>
      <c r="E469" s="15">
        <f>'Master Cleaned Data Pipeline'!G464</f>
        <v/>
      </c>
      <c r="F469" s="13">
        <f>IF(E469&gt;'Stats &amp; 3-Sigma Control Bounds'!$C$21, "🚨 ANOMALY SPIKE", IF(E469&lt;0, "💳 CREDIT", "NORMAL"))</f>
        <v/>
      </c>
      <c r="G469" s="16">
        <f>(E469-'Stats &amp; 3-Sigma Control Bounds'!$C$6)/'Stats &amp; 3-Sigma Control Bounds'!$C$9</f>
        <v/>
      </c>
      <c r="H469" s="14">
        <f>IF(F469="🚨 ANOMALY SPIKE", "IMMEDIATE ESCALATION TO ENGINEERING", IF(F469="💳 CREDIT", "AUDIT CREDIT ALLOCATION", "APPROVED USAGE"))</f>
        <v/>
      </c>
    </row>
    <row r="470">
      <c r="A470" s="13">
        <f>'Master Cleaned Data Pipeline'!A465</f>
        <v/>
      </c>
      <c r="B470" s="13">
        <f>'Master Cleaned Data Pipeline'!B465</f>
        <v/>
      </c>
      <c r="C470" s="14">
        <f>'Master Cleaned Data Pipeline'!I465</f>
        <v/>
      </c>
      <c r="D470" s="14">
        <f>'Master Cleaned Data Pipeline'!F465</f>
        <v/>
      </c>
      <c r="E470" s="15">
        <f>'Master Cleaned Data Pipeline'!G465</f>
        <v/>
      </c>
      <c r="F470" s="13">
        <f>IF(E470&gt;'Stats &amp; 3-Sigma Control Bounds'!$C$21, "🚨 ANOMALY SPIKE", IF(E470&lt;0, "💳 CREDIT", "NORMAL"))</f>
        <v/>
      </c>
      <c r="G470" s="16">
        <f>(E470-'Stats &amp; 3-Sigma Control Bounds'!$C$6)/'Stats &amp; 3-Sigma Control Bounds'!$C$9</f>
        <v/>
      </c>
      <c r="H470" s="14">
        <f>IF(F470="🚨 ANOMALY SPIKE", "IMMEDIATE ESCALATION TO ENGINEERING", IF(F470="💳 CREDIT", "AUDIT CREDIT ALLOCATION", "APPROVED USAGE"))</f>
        <v/>
      </c>
    </row>
    <row r="471">
      <c r="A471" s="13">
        <f>'Master Cleaned Data Pipeline'!A466</f>
        <v/>
      </c>
      <c r="B471" s="13">
        <f>'Master Cleaned Data Pipeline'!B466</f>
        <v/>
      </c>
      <c r="C471" s="14">
        <f>'Master Cleaned Data Pipeline'!I466</f>
        <v/>
      </c>
      <c r="D471" s="14">
        <f>'Master Cleaned Data Pipeline'!F466</f>
        <v/>
      </c>
      <c r="E471" s="15">
        <f>'Master Cleaned Data Pipeline'!G466</f>
        <v/>
      </c>
      <c r="F471" s="13">
        <f>IF(E471&gt;'Stats &amp; 3-Sigma Control Bounds'!$C$21, "🚨 ANOMALY SPIKE", IF(E471&lt;0, "💳 CREDIT", "NORMAL"))</f>
        <v/>
      </c>
      <c r="G471" s="16">
        <f>(E471-'Stats &amp; 3-Sigma Control Bounds'!$C$6)/'Stats &amp; 3-Sigma Control Bounds'!$C$9</f>
        <v/>
      </c>
      <c r="H471" s="14">
        <f>IF(F471="🚨 ANOMALY SPIKE", "IMMEDIATE ESCALATION TO ENGINEERING", IF(F471="💳 CREDIT", "AUDIT CREDIT ALLOCATION", "APPROVED USAGE"))</f>
        <v/>
      </c>
    </row>
    <row r="472">
      <c r="A472" s="13">
        <f>'Master Cleaned Data Pipeline'!A467</f>
        <v/>
      </c>
      <c r="B472" s="13">
        <f>'Master Cleaned Data Pipeline'!B467</f>
        <v/>
      </c>
      <c r="C472" s="14">
        <f>'Master Cleaned Data Pipeline'!I467</f>
        <v/>
      </c>
      <c r="D472" s="14">
        <f>'Master Cleaned Data Pipeline'!F467</f>
        <v/>
      </c>
      <c r="E472" s="15">
        <f>'Master Cleaned Data Pipeline'!G467</f>
        <v/>
      </c>
      <c r="F472" s="13">
        <f>IF(E472&gt;'Stats &amp; 3-Sigma Control Bounds'!$C$21, "🚨 ANOMALY SPIKE", IF(E472&lt;0, "💳 CREDIT", "NORMAL"))</f>
        <v/>
      </c>
      <c r="G472" s="16">
        <f>(E472-'Stats &amp; 3-Sigma Control Bounds'!$C$6)/'Stats &amp; 3-Sigma Control Bounds'!$C$9</f>
        <v/>
      </c>
      <c r="H472" s="14">
        <f>IF(F472="🚨 ANOMALY SPIKE", "IMMEDIATE ESCALATION TO ENGINEERING", IF(F472="💳 CREDIT", "AUDIT CREDIT ALLOCATION", "APPROVED USAGE"))</f>
        <v/>
      </c>
    </row>
    <row r="473">
      <c r="A473" s="13">
        <f>'Master Cleaned Data Pipeline'!A468</f>
        <v/>
      </c>
      <c r="B473" s="13">
        <f>'Master Cleaned Data Pipeline'!B468</f>
        <v/>
      </c>
      <c r="C473" s="14">
        <f>'Master Cleaned Data Pipeline'!I468</f>
        <v/>
      </c>
      <c r="D473" s="14">
        <f>'Master Cleaned Data Pipeline'!F468</f>
        <v/>
      </c>
      <c r="E473" s="15">
        <f>'Master Cleaned Data Pipeline'!G468</f>
        <v/>
      </c>
      <c r="F473" s="13">
        <f>IF(E473&gt;'Stats &amp; 3-Sigma Control Bounds'!$C$21, "🚨 ANOMALY SPIKE", IF(E473&lt;0, "💳 CREDIT", "NORMAL"))</f>
        <v/>
      </c>
      <c r="G473" s="16">
        <f>(E473-'Stats &amp; 3-Sigma Control Bounds'!$C$6)/'Stats &amp; 3-Sigma Control Bounds'!$C$9</f>
        <v/>
      </c>
      <c r="H473" s="14">
        <f>IF(F473="🚨 ANOMALY SPIKE", "IMMEDIATE ESCALATION TO ENGINEERING", IF(F473="💳 CREDIT", "AUDIT CREDIT ALLOCATION", "APPROVED USAGE"))</f>
        <v/>
      </c>
    </row>
    <row r="474">
      <c r="A474" s="13">
        <f>'Master Cleaned Data Pipeline'!A469</f>
        <v/>
      </c>
      <c r="B474" s="13">
        <f>'Master Cleaned Data Pipeline'!B469</f>
        <v/>
      </c>
      <c r="C474" s="14">
        <f>'Master Cleaned Data Pipeline'!I469</f>
        <v/>
      </c>
      <c r="D474" s="14">
        <f>'Master Cleaned Data Pipeline'!F469</f>
        <v/>
      </c>
      <c r="E474" s="15">
        <f>'Master Cleaned Data Pipeline'!G469</f>
        <v/>
      </c>
      <c r="F474" s="13">
        <f>IF(E474&gt;'Stats &amp; 3-Sigma Control Bounds'!$C$21, "🚨 ANOMALY SPIKE", IF(E474&lt;0, "💳 CREDIT", "NORMAL"))</f>
        <v/>
      </c>
      <c r="G474" s="16">
        <f>(E474-'Stats &amp; 3-Sigma Control Bounds'!$C$6)/'Stats &amp; 3-Sigma Control Bounds'!$C$9</f>
        <v/>
      </c>
      <c r="H474" s="14">
        <f>IF(F474="🚨 ANOMALY SPIKE", "IMMEDIATE ESCALATION TO ENGINEERING", IF(F474="💳 CREDIT", "AUDIT CREDIT ALLOCATION", "APPROVED USAGE"))</f>
        <v/>
      </c>
    </row>
    <row r="475">
      <c r="A475" s="13">
        <f>'Master Cleaned Data Pipeline'!A470</f>
        <v/>
      </c>
      <c r="B475" s="13">
        <f>'Master Cleaned Data Pipeline'!B470</f>
        <v/>
      </c>
      <c r="C475" s="14">
        <f>'Master Cleaned Data Pipeline'!I470</f>
        <v/>
      </c>
      <c r="D475" s="14">
        <f>'Master Cleaned Data Pipeline'!F470</f>
        <v/>
      </c>
      <c r="E475" s="15">
        <f>'Master Cleaned Data Pipeline'!G470</f>
        <v/>
      </c>
      <c r="F475" s="13">
        <f>IF(E475&gt;'Stats &amp; 3-Sigma Control Bounds'!$C$21, "🚨 ANOMALY SPIKE", IF(E475&lt;0, "💳 CREDIT", "NORMAL"))</f>
        <v/>
      </c>
      <c r="G475" s="16">
        <f>(E475-'Stats &amp; 3-Sigma Control Bounds'!$C$6)/'Stats &amp; 3-Sigma Control Bounds'!$C$9</f>
        <v/>
      </c>
      <c r="H475" s="14">
        <f>IF(F475="🚨 ANOMALY SPIKE", "IMMEDIATE ESCALATION TO ENGINEERING", IF(F475="💳 CREDIT", "AUDIT CREDIT ALLOCATION", "APPROVED USAGE"))</f>
        <v/>
      </c>
    </row>
    <row r="476">
      <c r="A476" s="13">
        <f>'Master Cleaned Data Pipeline'!A471</f>
        <v/>
      </c>
      <c r="B476" s="13">
        <f>'Master Cleaned Data Pipeline'!B471</f>
        <v/>
      </c>
      <c r="C476" s="14">
        <f>'Master Cleaned Data Pipeline'!I471</f>
        <v/>
      </c>
      <c r="D476" s="14">
        <f>'Master Cleaned Data Pipeline'!F471</f>
        <v/>
      </c>
      <c r="E476" s="15">
        <f>'Master Cleaned Data Pipeline'!G471</f>
        <v/>
      </c>
      <c r="F476" s="13">
        <f>IF(E476&gt;'Stats &amp; 3-Sigma Control Bounds'!$C$21, "🚨 ANOMALY SPIKE", IF(E476&lt;0, "💳 CREDIT", "NORMAL"))</f>
        <v/>
      </c>
      <c r="G476" s="16">
        <f>(E476-'Stats &amp; 3-Sigma Control Bounds'!$C$6)/'Stats &amp; 3-Sigma Control Bounds'!$C$9</f>
        <v/>
      </c>
      <c r="H476" s="14">
        <f>IF(F476="🚨 ANOMALY SPIKE", "IMMEDIATE ESCALATION TO ENGINEERING", IF(F476="💳 CREDIT", "AUDIT CREDIT ALLOCATION", "APPROVED USAGE"))</f>
        <v/>
      </c>
    </row>
    <row r="477">
      <c r="A477" s="13">
        <f>'Master Cleaned Data Pipeline'!A472</f>
        <v/>
      </c>
      <c r="B477" s="13">
        <f>'Master Cleaned Data Pipeline'!B472</f>
        <v/>
      </c>
      <c r="C477" s="14">
        <f>'Master Cleaned Data Pipeline'!I472</f>
        <v/>
      </c>
      <c r="D477" s="14">
        <f>'Master Cleaned Data Pipeline'!F472</f>
        <v/>
      </c>
      <c r="E477" s="15">
        <f>'Master Cleaned Data Pipeline'!G472</f>
        <v/>
      </c>
      <c r="F477" s="13">
        <f>IF(E477&gt;'Stats &amp; 3-Sigma Control Bounds'!$C$21, "🚨 ANOMALY SPIKE", IF(E477&lt;0, "💳 CREDIT", "NORMAL"))</f>
        <v/>
      </c>
      <c r="G477" s="16">
        <f>(E477-'Stats &amp; 3-Sigma Control Bounds'!$C$6)/'Stats &amp; 3-Sigma Control Bounds'!$C$9</f>
        <v/>
      </c>
      <c r="H477" s="14">
        <f>IF(F477="🚨 ANOMALY SPIKE", "IMMEDIATE ESCALATION TO ENGINEERING", IF(F477="💳 CREDIT", "AUDIT CREDIT ALLOCATION", "APPROVED USAGE"))</f>
        <v/>
      </c>
    </row>
    <row r="478">
      <c r="A478" s="13">
        <f>'Master Cleaned Data Pipeline'!A473</f>
        <v/>
      </c>
      <c r="B478" s="13">
        <f>'Master Cleaned Data Pipeline'!B473</f>
        <v/>
      </c>
      <c r="C478" s="14">
        <f>'Master Cleaned Data Pipeline'!I473</f>
        <v/>
      </c>
      <c r="D478" s="14">
        <f>'Master Cleaned Data Pipeline'!F473</f>
        <v/>
      </c>
      <c r="E478" s="15">
        <f>'Master Cleaned Data Pipeline'!G473</f>
        <v/>
      </c>
      <c r="F478" s="13">
        <f>IF(E478&gt;'Stats &amp; 3-Sigma Control Bounds'!$C$21, "🚨 ANOMALY SPIKE", IF(E478&lt;0, "💳 CREDIT", "NORMAL"))</f>
        <v/>
      </c>
      <c r="G478" s="16">
        <f>(E478-'Stats &amp; 3-Sigma Control Bounds'!$C$6)/'Stats &amp; 3-Sigma Control Bounds'!$C$9</f>
        <v/>
      </c>
      <c r="H478" s="14">
        <f>IF(F478="🚨 ANOMALY SPIKE", "IMMEDIATE ESCALATION TO ENGINEERING", IF(F478="💳 CREDIT", "AUDIT CREDIT ALLOCATION", "APPROVED USAGE"))</f>
        <v/>
      </c>
    </row>
    <row r="479">
      <c r="A479" s="13">
        <f>'Master Cleaned Data Pipeline'!A474</f>
        <v/>
      </c>
      <c r="B479" s="13">
        <f>'Master Cleaned Data Pipeline'!B474</f>
        <v/>
      </c>
      <c r="C479" s="14">
        <f>'Master Cleaned Data Pipeline'!I474</f>
        <v/>
      </c>
      <c r="D479" s="14">
        <f>'Master Cleaned Data Pipeline'!F474</f>
        <v/>
      </c>
      <c r="E479" s="15">
        <f>'Master Cleaned Data Pipeline'!G474</f>
        <v/>
      </c>
      <c r="F479" s="13">
        <f>IF(E479&gt;'Stats &amp; 3-Sigma Control Bounds'!$C$21, "🚨 ANOMALY SPIKE", IF(E479&lt;0, "💳 CREDIT", "NORMAL"))</f>
        <v/>
      </c>
      <c r="G479" s="16">
        <f>(E479-'Stats &amp; 3-Sigma Control Bounds'!$C$6)/'Stats &amp; 3-Sigma Control Bounds'!$C$9</f>
        <v/>
      </c>
      <c r="H479" s="14">
        <f>IF(F479="🚨 ANOMALY SPIKE", "IMMEDIATE ESCALATION TO ENGINEERING", IF(F479="💳 CREDIT", "AUDIT CREDIT ALLOCATION", "APPROVED USAGE"))</f>
        <v/>
      </c>
    </row>
    <row r="480">
      <c r="A480" s="13">
        <f>'Master Cleaned Data Pipeline'!A475</f>
        <v/>
      </c>
      <c r="B480" s="13">
        <f>'Master Cleaned Data Pipeline'!B475</f>
        <v/>
      </c>
      <c r="C480" s="14">
        <f>'Master Cleaned Data Pipeline'!I475</f>
        <v/>
      </c>
      <c r="D480" s="14">
        <f>'Master Cleaned Data Pipeline'!F475</f>
        <v/>
      </c>
      <c r="E480" s="15">
        <f>'Master Cleaned Data Pipeline'!G475</f>
        <v/>
      </c>
      <c r="F480" s="13">
        <f>IF(E480&gt;'Stats &amp; 3-Sigma Control Bounds'!$C$21, "🚨 ANOMALY SPIKE", IF(E480&lt;0, "💳 CREDIT", "NORMAL"))</f>
        <v/>
      </c>
      <c r="G480" s="16">
        <f>(E480-'Stats &amp; 3-Sigma Control Bounds'!$C$6)/'Stats &amp; 3-Sigma Control Bounds'!$C$9</f>
        <v/>
      </c>
      <c r="H480" s="14">
        <f>IF(F480="🚨 ANOMALY SPIKE", "IMMEDIATE ESCALATION TO ENGINEERING", IF(F480="💳 CREDIT", "AUDIT CREDIT ALLOCATION", "APPROVED USAGE"))</f>
        <v/>
      </c>
    </row>
    <row r="481">
      <c r="A481" s="13">
        <f>'Master Cleaned Data Pipeline'!A476</f>
        <v/>
      </c>
      <c r="B481" s="13">
        <f>'Master Cleaned Data Pipeline'!B476</f>
        <v/>
      </c>
      <c r="C481" s="14">
        <f>'Master Cleaned Data Pipeline'!I476</f>
        <v/>
      </c>
      <c r="D481" s="14">
        <f>'Master Cleaned Data Pipeline'!F476</f>
        <v/>
      </c>
      <c r="E481" s="15">
        <f>'Master Cleaned Data Pipeline'!G476</f>
        <v/>
      </c>
      <c r="F481" s="13">
        <f>IF(E481&gt;'Stats &amp; 3-Sigma Control Bounds'!$C$21, "🚨 ANOMALY SPIKE", IF(E481&lt;0, "💳 CREDIT", "NORMAL"))</f>
        <v/>
      </c>
      <c r="G481" s="16">
        <f>(E481-'Stats &amp; 3-Sigma Control Bounds'!$C$6)/'Stats &amp; 3-Sigma Control Bounds'!$C$9</f>
        <v/>
      </c>
      <c r="H481" s="14">
        <f>IF(F481="🚨 ANOMALY SPIKE", "IMMEDIATE ESCALATION TO ENGINEERING", IF(F481="💳 CREDIT", "AUDIT CREDIT ALLOCATION", "APPROVED USAGE"))</f>
        <v/>
      </c>
    </row>
    <row r="482">
      <c r="A482" s="13">
        <f>'Master Cleaned Data Pipeline'!A477</f>
        <v/>
      </c>
      <c r="B482" s="13">
        <f>'Master Cleaned Data Pipeline'!B477</f>
        <v/>
      </c>
      <c r="C482" s="14">
        <f>'Master Cleaned Data Pipeline'!I477</f>
        <v/>
      </c>
      <c r="D482" s="14">
        <f>'Master Cleaned Data Pipeline'!F477</f>
        <v/>
      </c>
      <c r="E482" s="15">
        <f>'Master Cleaned Data Pipeline'!G477</f>
        <v/>
      </c>
      <c r="F482" s="13">
        <f>IF(E482&gt;'Stats &amp; 3-Sigma Control Bounds'!$C$21, "🚨 ANOMALY SPIKE", IF(E482&lt;0, "💳 CREDIT", "NORMAL"))</f>
        <v/>
      </c>
      <c r="G482" s="16">
        <f>(E482-'Stats &amp; 3-Sigma Control Bounds'!$C$6)/'Stats &amp; 3-Sigma Control Bounds'!$C$9</f>
        <v/>
      </c>
      <c r="H482" s="14">
        <f>IF(F482="🚨 ANOMALY SPIKE", "IMMEDIATE ESCALATION TO ENGINEERING", IF(F482="💳 CREDIT", "AUDIT CREDIT ALLOCATION", "APPROVED USAGE"))</f>
        <v/>
      </c>
    </row>
    <row r="483">
      <c r="A483" s="13">
        <f>'Master Cleaned Data Pipeline'!A478</f>
        <v/>
      </c>
      <c r="B483" s="13">
        <f>'Master Cleaned Data Pipeline'!B478</f>
        <v/>
      </c>
      <c r="C483" s="14">
        <f>'Master Cleaned Data Pipeline'!I478</f>
        <v/>
      </c>
      <c r="D483" s="14">
        <f>'Master Cleaned Data Pipeline'!F478</f>
        <v/>
      </c>
      <c r="E483" s="15">
        <f>'Master Cleaned Data Pipeline'!G478</f>
        <v/>
      </c>
      <c r="F483" s="13">
        <f>IF(E483&gt;'Stats &amp; 3-Sigma Control Bounds'!$C$21, "🚨 ANOMALY SPIKE", IF(E483&lt;0, "💳 CREDIT", "NORMAL"))</f>
        <v/>
      </c>
      <c r="G483" s="16">
        <f>(E483-'Stats &amp; 3-Sigma Control Bounds'!$C$6)/'Stats &amp; 3-Sigma Control Bounds'!$C$9</f>
        <v/>
      </c>
      <c r="H483" s="14">
        <f>IF(F483="🚨 ANOMALY SPIKE", "IMMEDIATE ESCALATION TO ENGINEERING", IF(F483="💳 CREDIT", "AUDIT CREDIT ALLOCATION", "APPROVED USAGE"))</f>
        <v/>
      </c>
    </row>
    <row r="484">
      <c r="A484" s="13">
        <f>'Master Cleaned Data Pipeline'!A479</f>
        <v/>
      </c>
      <c r="B484" s="13">
        <f>'Master Cleaned Data Pipeline'!B479</f>
        <v/>
      </c>
      <c r="C484" s="14">
        <f>'Master Cleaned Data Pipeline'!I479</f>
        <v/>
      </c>
      <c r="D484" s="14">
        <f>'Master Cleaned Data Pipeline'!F479</f>
        <v/>
      </c>
      <c r="E484" s="15">
        <f>'Master Cleaned Data Pipeline'!G479</f>
        <v/>
      </c>
      <c r="F484" s="13">
        <f>IF(E484&gt;'Stats &amp; 3-Sigma Control Bounds'!$C$21, "🚨 ANOMALY SPIKE", IF(E484&lt;0, "💳 CREDIT", "NORMAL"))</f>
        <v/>
      </c>
      <c r="G484" s="16">
        <f>(E484-'Stats &amp; 3-Sigma Control Bounds'!$C$6)/'Stats &amp; 3-Sigma Control Bounds'!$C$9</f>
        <v/>
      </c>
      <c r="H484" s="14">
        <f>IF(F484="🚨 ANOMALY SPIKE", "IMMEDIATE ESCALATION TO ENGINEERING", IF(F484="💳 CREDIT", "AUDIT CREDIT ALLOCATION", "APPROVED USAGE"))</f>
        <v/>
      </c>
    </row>
    <row r="485">
      <c r="A485" s="13">
        <f>'Master Cleaned Data Pipeline'!A480</f>
        <v/>
      </c>
      <c r="B485" s="13">
        <f>'Master Cleaned Data Pipeline'!B480</f>
        <v/>
      </c>
      <c r="C485" s="14">
        <f>'Master Cleaned Data Pipeline'!I480</f>
        <v/>
      </c>
      <c r="D485" s="14">
        <f>'Master Cleaned Data Pipeline'!F480</f>
        <v/>
      </c>
      <c r="E485" s="15">
        <f>'Master Cleaned Data Pipeline'!G480</f>
        <v/>
      </c>
      <c r="F485" s="13">
        <f>IF(E485&gt;'Stats &amp; 3-Sigma Control Bounds'!$C$21, "🚨 ANOMALY SPIKE", IF(E485&lt;0, "💳 CREDIT", "NORMAL"))</f>
        <v/>
      </c>
      <c r="G485" s="16">
        <f>(E485-'Stats &amp; 3-Sigma Control Bounds'!$C$6)/'Stats &amp; 3-Sigma Control Bounds'!$C$9</f>
        <v/>
      </c>
      <c r="H485" s="14">
        <f>IF(F485="🚨 ANOMALY SPIKE", "IMMEDIATE ESCALATION TO ENGINEERING", IF(F485="💳 CREDIT", "AUDIT CREDIT ALLOCATION", "APPROVED USAGE"))</f>
        <v/>
      </c>
    </row>
    <row r="486">
      <c r="A486" s="13">
        <f>'Master Cleaned Data Pipeline'!A481</f>
        <v/>
      </c>
      <c r="B486" s="13">
        <f>'Master Cleaned Data Pipeline'!B481</f>
        <v/>
      </c>
      <c r="C486" s="14">
        <f>'Master Cleaned Data Pipeline'!I481</f>
        <v/>
      </c>
      <c r="D486" s="14">
        <f>'Master Cleaned Data Pipeline'!F481</f>
        <v/>
      </c>
      <c r="E486" s="15">
        <f>'Master Cleaned Data Pipeline'!G481</f>
        <v/>
      </c>
      <c r="F486" s="13">
        <f>IF(E486&gt;'Stats &amp; 3-Sigma Control Bounds'!$C$21, "🚨 ANOMALY SPIKE", IF(E486&lt;0, "💳 CREDIT", "NORMAL"))</f>
        <v/>
      </c>
      <c r="G486" s="16">
        <f>(E486-'Stats &amp; 3-Sigma Control Bounds'!$C$6)/'Stats &amp; 3-Sigma Control Bounds'!$C$9</f>
        <v/>
      </c>
      <c r="H486" s="14">
        <f>IF(F486="🚨 ANOMALY SPIKE", "IMMEDIATE ESCALATION TO ENGINEERING", IF(F486="💳 CREDIT", "AUDIT CREDIT ALLOCATION", "APPROVED USAGE"))</f>
        <v/>
      </c>
    </row>
    <row r="487">
      <c r="A487" s="13">
        <f>'Master Cleaned Data Pipeline'!A482</f>
        <v/>
      </c>
      <c r="B487" s="13">
        <f>'Master Cleaned Data Pipeline'!B482</f>
        <v/>
      </c>
      <c r="C487" s="14">
        <f>'Master Cleaned Data Pipeline'!I482</f>
        <v/>
      </c>
      <c r="D487" s="14">
        <f>'Master Cleaned Data Pipeline'!F482</f>
        <v/>
      </c>
      <c r="E487" s="15">
        <f>'Master Cleaned Data Pipeline'!G482</f>
        <v/>
      </c>
      <c r="F487" s="13">
        <f>IF(E487&gt;'Stats &amp; 3-Sigma Control Bounds'!$C$21, "🚨 ANOMALY SPIKE", IF(E487&lt;0, "💳 CREDIT", "NORMAL"))</f>
        <v/>
      </c>
      <c r="G487" s="16">
        <f>(E487-'Stats &amp; 3-Sigma Control Bounds'!$C$6)/'Stats &amp; 3-Sigma Control Bounds'!$C$9</f>
        <v/>
      </c>
      <c r="H487" s="14">
        <f>IF(F487="🚨 ANOMALY SPIKE", "IMMEDIATE ESCALATION TO ENGINEERING", IF(F487="💳 CREDIT", "AUDIT CREDIT ALLOCATION", "APPROVED USAGE"))</f>
        <v/>
      </c>
    </row>
    <row r="488">
      <c r="A488" s="13">
        <f>'Master Cleaned Data Pipeline'!A483</f>
        <v/>
      </c>
      <c r="B488" s="13">
        <f>'Master Cleaned Data Pipeline'!B483</f>
        <v/>
      </c>
      <c r="C488" s="14">
        <f>'Master Cleaned Data Pipeline'!I483</f>
        <v/>
      </c>
      <c r="D488" s="14">
        <f>'Master Cleaned Data Pipeline'!F483</f>
        <v/>
      </c>
      <c r="E488" s="15">
        <f>'Master Cleaned Data Pipeline'!G483</f>
        <v/>
      </c>
      <c r="F488" s="13">
        <f>IF(E488&gt;'Stats &amp; 3-Sigma Control Bounds'!$C$21, "🚨 ANOMALY SPIKE", IF(E488&lt;0, "💳 CREDIT", "NORMAL"))</f>
        <v/>
      </c>
      <c r="G488" s="16">
        <f>(E488-'Stats &amp; 3-Sigma Control Bounds'!$C$6)/'Stats &amp; 3-Sigma Control Bounds'!$C$9</f>
        <v/>
      </c>
      <c r="H488" s="14">
        <f>IF(F488="🚨 ANOMALY SPIKE", "IMMEDIATE ESCALATION TO ENGINEERING", IF(F488="💳 CREDIT", "AUDIT CREDIT ALLOCATION", "APPROVED USAGE"))</f>
        <v/>
      </c>
    </row>
    <row r="489">
      <c r="A489" s="13">
        <f>'Master Cleaned Data Pipeline'!A484</f>
        <v/>
      </c>
      <c r="B489" s="13">
        <f>'Master Cleaned Data Pipeline'!B484</f>
        <v/>
      </c>
      <c r="C489" s="14">
        <f>'Master Cleaned Data Pipeline'!I484</f>
        <v/>
      </c>
      <c r="D489" s="14">
        <f>'Master Cleaned Data Pipeline'!F484</f>
        <v/>
      </c>
      <c r="E489" s="15">
        <f>'Master Cleaned Data Pipeline'!G484</f>
        <v/>
      </c>
      <c r="F489" s="13">
        <f>IF(E489&gt;'Stats &amp; 3-Sigma Control Bounds'!$C$21, "🚨 ANOMALY SPIKE", IF(E489&lt;0, "💳 CREDIT", "NORMAL"))</f>
        <v/>
      </c>
      <c r="G489" s="16">
        <f>(E489-'Stats &amp; 3-Sigma Control Bounds'!$C$6)/'Stats &amp; 3-Sigma Control Bounds'!$C$9</f>
        <v/>
      </c>
      <c r="H489" s="14">
        <f>IF(F489="🚨 ANOMALY SPIKE", "IMMEDIATE ESCALATION TO ENGINEERING", IF(F489="💳 CREDIT", "AUDIT CREDIT ALLOCATION", "APPROVED USAGE"))</f>
        <v/>
      </c>
    </row>
    <row r="490">
      <c r="A490" s="13">
        <f>'Master Cleaned Data Pipeline'!A485</f>
        <v/>
      </c>
      <c r="B490" s="13">
        <f>'Master Cleaned Data Pipeline'!B485</f>
        <v/>
      </c>
      <c r="C490" s="14">
        <f>'Master Cleaned Data Pipeline'!I485</f>
        <v/>
      </c>
      <c r="D490" s="14">
        <f>'Master Cleaned Data Pipeline'!F485</f>
        <v/>
      </c>
      <c r="E490" s="15">
        <f>'Master Cleaned Data Pipeline'!G485</f>
        <v/>
      </c>
      <c r="F490" s="13">
        <f>IF(E490&gt;'Stats &amp; 3-Sigma Control Bounds'!$C$21, "🚨 ANOMALY SPIKE", IF(E490&lt;0, "💳 CREDIT", "NORMAL"))</f>
        <v/>
      </c>
      <c r="G490" s="16">
        <f>(E490-'Stats &amp; 3-Sigma Control Bounds'!$C$6)/'Stats &amp; 3-Sigma Control Bounds'!$C$9</f>
        <v/>
      </c>
      <c r="H490" s="14">
        <f>IF(F490="🚨 ANOMALY SPIKE", "IMMEDIATE ESCALATION TO ENGINEERING", IF(F490="💳 CREDIT", "AUDIT CREDIT ALLOCATION", "APPROVED USAGE"))</f>
        <v/>
      </c>
    </row>
    <row r="491">
      <c r="A491" s="13">
        <f>'Master Cleaned Data Pipeline'!A486</f>
        <v/>
      </c>
      <c r="B491" s="13">
        <f>'Master Cleaned Data Pipeline'!B486</f>
        <v/>
      </c>
      <c r="C491" s="14">
        <f>'Master Cleaned Data Pipeline'!I486</f>
        <v/>
      </c>
      <c r="D491" s="14">
        <f>'Master Cleaned Data Pipeline'!F486</f>
        <v/>
      </c>
      <c r="E491" s="15">
        <f>'Master Cleaned Data Pipeline'!G486</f>
        <v/>
      </c>
      <c r="F491" s="13">
        <f>IF(E491&gt;'Stats &amp; 3-Sigma Control Bounds'!$C$21, "🚨 ANOMALY SPIKE", IF(E491&lt;0, "💳 CREDIT", "NORMAL"))</f>
        <v/>
      </c>
      <c r="G491" s="16">
        <f>(E491-'Stats &amp; 3-Sigma Control Bounds'!$C$6)/'Stats &amp; 3-Sigma Control Bounds'!$C$9</f>
        <v/>
      </c>
      <c r="H491" s="14">
        <f>IF(F491="🚨 ANOMALY SPIKE", "IMMEDIATE ESCALATION TO ENGINEERING", IF(F491="💳 CREDIT", "AUDIT CREDIT ALLOCATION", "APPROVED USAGE"))</f>
        <v/>
      </c>
    </row>
    <row r="492">
      <c r="A492" s="13">
        <f>'Master Cleaned Data Pipeline'!A487</f>
        <v/>
      </c>
      <c r="B492" s="13">
        <f>'Master Cleaned Data Pipeline'!B487</f>
        <v/>
      </c>
      <c r="C492" s="14">
        <f>'Master Cleaned Data Pipeline'!I487</f>
        <v/>
      </c>
      <c r="D492" s="14">
        <f>'Master Cleaned Data Pipeline'!F487</f>
        <v/>
      </c>
      <c r="E492" s="15">
        <f>'Master Cleaned Data Pipeline'!G487</f>
        <v/>
      </c>
      <c r="F492" s="13">
        <f>IF(E492&gt;'Stats &amp; 3-Sigma Control Bounds'!$C$21, "🚨 ANOMALY SPIKE", IF(E492&lt;0, "💳 CREDIT", "NORMAL"))</f>
        <v/>
      </c>
      <c r="G492" s="16">
        <f>(E492-'Stats &amp; 3-Sigma Control Bounds'!$C$6)/'Stats &amp; 3-Sigma Control Bounds'!$C$9</f>
        <v/>
      </c>
      <c r="H492" s="14">
        <f>IF(F492="🚨 ANOMALY SPIKE", "IMMEDIATE ESCALATION TO ENGINEERING", IF(F492="💳 CREDIT", "AUDIT CREDIT ALLOCATION", "APPROVED USAGE"))</f>
        <v/>
      </c>
    </row>
    <row r="493">
      <c r="A493" s="13">
        <f>'Master Cleaned Data Pipeline'!A488</f>
        <v/>
      </c>
      <c r="B493" s="13">
        <f>'Master Cleaned Data Pipeline'!B488</f>
        <v/>
      </c>
      <c r="C493" s="14">
        <f>'Master Cleaned Data Pipeline'!I488</f>
        <v/>
      </c>
      <c r="D493" s="14">
        <f>'Master Cleaned Data Pipeline'!F488</f>
        <v/>
      </c>
      <c r="E493" s="15">
        <f>'Master Cleaned Data Pipeline'!G488</f>
        <v/>
      </c>
      <c r="F493" s="13">
        <f>IF(E493&gt;'Stats &amp; 3-Sigma Control Bounds'!$C$21, "🚨 ANOMALY SPIKE", IF(E493&lt;0, "💳 CREDIT", "NORMAL"))</f>
        <v/>
      </c>
      <c r="G493" s="16">
        <f>(E493-'Stats &amp; 3-Sigma Control Bounds'!$C$6)/'Stats &amp; 3-Sigma Control Bounds'!$C$9</f>
        <v/>
      </c>
      <c r="H493" s="14">
        <f>IF(F493="🚨 ANOMALY SPIKE", "IMMEDIATE ESCALATION TO ENGINEERING", IF(F493="💳 CREDIT", "AUDIT CREDIT ALLOCATION", "APPROVED USAGE"))</f>
        <v/>
      </c>
    </row>
    <row r="494">
      <c r="A494" s="13">
        <f>'Master Cleaned Data Pipeline'!A489</f>
        <v/>
      </c>
      <c r="B494" s="13">
        <f>'Master Cleaned Data Pipeline'!B489</f>
        <v/>
      </c>
      <c r="C494" s="14">
        <f>'Master Cleaned Data Pipeline'!I489</f>
        <v/>
      </c>
      <c r="D494" s="14">
        <f>'Master Cleaned Data Pipeline'!F489</f>
        <v/>
      </c>
      <c r="E494" s="15">
        <f>'Master Cleaned Data Pipeline'!G489</f>
        <v/>
      </c>
      <c r="F494" s="13">
        <f>IF(E494&gt;'Stats &amp; 3-Sigma Control Bounds'!$C$21, "🚨 ANOMALY SPIKE", IF(E494&lt;0, "💳 CREDIT", "NORMAL"))</f>
        <v/>
      </c>
      <c r="G494" s="16">
        <f>(E494-'Stats &amp; 3-Sigma Control Bounds'!$C$6)/'Stats &amp; 3-Sigma Control Bounds'!$C$9</f>
        <v/>
      </c>
      <c r="H494" s="14">
        <f>IF(F494="🚨 ANOMALY SPIKE", "IMMEDIATE ESCALATION TO ENGINEERING", IF(F494="💳 CREDIT", "AUDIT CREDIT ALLOCATION", "APPROVED USAGE"))</f>
        <v/>
      </c>
    </row>
    <row r="495">
      <c r="A495" s="13">
        <f>'Master Cleaned Data Pipeline'!A490</f>
        <v/>
      </c>
      <c r="B495" s="13">
        <f>'Master Cleaned Data Pipeline'!B490</f>
        <v/>
      </c>
      <c r="C495" s="14">
        <f>'Master Cleaned Data Pipeline'!I490</f>
        <v/>
      </c>
      <c r="D495" s="14">
        <f>'Master Cleaned Data Pipeline'!F490</f>
        <v/>
      </c>
      <c r="E495" s="15">
        <f>'Master Cleaned Data Pipeline'!G490</f>
        <v/>
      </c>
      <c r="F495" s="13">
        <f>IF(E495&gt;'Stats &amp; 3-Sigma Control Bounds'!$C$21, "🚨 ANOMALY SPIKE", IF(E495&lt;0, "💳 CREDIT", "NORMAL"))</f>
        <v/>
      </c>
      <c r="G495" s="16">
        <f>(E495-'Stats &amp; 3-Sigma Control Bounds'!$C$6)/'Stats &amp; 3-Sigma Control Bounds'!$C$9</f>
        <v/>
      </c>
      <c r="H495" s="14">
        <f>IF(F495="🚨 ANOMALY SPIKE", "IMMEDIATE ESCALATION TO ENGINEERING", IF(F495="💳 CREDIT", "AUDIT CREDIT ALLOCATION", "APPROVED USAGE"))</f>
        <v/>
      </c>
    </row>
    <row r="496">
      <c r="A496" s="13">
        <f>'Master Cleaned Data Pipeline'!A491</f>
        <v/>
      </c>
      <c r="B496" s="13">
        <f>'Master Cleaned Data Pipeline'!B491</f>
        <v/>
      </c>
      <c r="C496" s="14">
        <f>'Master Cleaned Data Pipeline'!I491</f>
        <v/>
      </c>
      <c r="D496" s="14">
        <f>'Master Cleaned Data Pipeline'!F491</f>
        <v/>
      </c>
      <c r="E496" s="15">
        <f>'Master Cleaned Data Pipeline'!G491</f>
        <v/>
      </c>
      <c r="F496" s="13">
        <f>IF(E496&gt;'Stats &amp; 3-Sigma Control Bounds'!$C$21, "🚨 ANOMALY SPIKE", IF(E496&lt;0, "💳 CREDIT", "NORMAL"))</f>
        <v/>
      </c>
      <c r="G496" s="16">
        <f>(E496-'Stats &amp; 3-Sigma Control Bounds'!$C$6)/'Stats &amp; 3-Sigma Control Bounds'!$C$9</f>
        <v/>
      </c>
      <c r="H496" s="14">
        <f>IF(F496="🚨 ANOMALY SPIKE", "IMMEDIATE ESCALATION TO ENGINEERING", IF(F496="💳 CREDIT", "AUDIT CREDIT ALLOCATION", "APPROVED USAGE"))</f>
        <v/>
      </c>
    </row>
    <row r="497">
      <c r="A497" s="13">
        <f>'Master Cleaned Data Pipeline'!A492</f>
        <v/>
      </c>
      <c r="B497" s="13">
        <f>'Master Cleaned Data Pipeline'!B492</f>
        <v/>
      </c>
      <c r="C497" s="14">
        <f>'Master Cleaned Data Pipeline'!I492</f>
        <v/>
      </c>
      <c r="D497" s="14">
        <f>'Master Cleaned Data Pipeline'!F492</f>
        <v/>
      </c>
      <c r="E497" s="15">
        <f>'Master Cleaned Data Pipeline'!G492</f>
        <v/>
      </c>
      <c r="F497" s="13">
        <f>IF(E497&gt;'Stats &amp; 3-Sigma Control Bounds'!$C$21, "🚨 ANOMALY SPIKE", IF(E497&lt;0, "💳 CREDIT", "NORMAL"))</f>
        <v/>
      </c>
      <c r="G497" s="16">
        <f>(E497-'Stats &amp; 3-Sigma Control Bounds'!$C$6)/'Stats &amp; 3-Sigma Control Bounds'!$C$9</f>
        <v/>
      </c>
      <c r="H497" s="14">
        <f>IF(F497="🚨 ANOMALY SPIKE", "IMMEDIATE ESCALATION TO ENGINEERING", IF(F497="💳 CREDIT", "AUDIT CREDIT ALLOCATION", "APPROVED USAGE"))</f>
        <v/>
      </c>
    </row>
    <row r="498">
      <c r="A498" s="13">
        <f>'Master Cleaned Data Pipeline'!A493</f>
        <v/>
      </c>
      <c r="B498" s="13">
        <f>'Master Cleaned Data Pipeline'!B493</f>
        <v/>
      </c>
      <c r="C498" s="14">
        <f>'Master Cleaned Data Pipeline'!I493</f>
        <v/>
      </c>
      <c r="D498" s="14">
        <f>'Master Cleaned Data Pipeline'!F493</f>
        <v/>
      </c>
      <c r="E498" s="15">
        <f>'Master Cleaned Data Pipeline'!G493</f>
        <v/>
      </c>
      <c r="F498" s="13">
        <f>IF(E498&gt;'Stats &amp; 3-Sigma Control Bounds'!$C$21, "🚨 ANOMALY SPIKE", IF(E498&lt;0, "💳 CREDIT", "NORMAL"))</f>
        <v/>
      </c>
      <c r="G498" s="16">
        <f>(E498-'Stats &amp; 3-Sigma Control Bounds'!$C$6)/'Stats &amp; 3-Sigma Control Bounds'!$C$9</f>
        <v/>
      </c>
      <c r="H498" s="14">
        <f>IF(F498="🚨 ANOMALY SPIKE", "IMMEDIATE ESCALATION TO ENGINEERING", IF(F498="💳 CREDIT", "AUDIT CREDIT ALLOCATION", "APPROVED USAGE"))</f>
        <v/>
      </c>
    </row>
    <row r="499">
      <c r="A499" s="13">
        <f>'Master Cleaned Data Pipeline'!A494</f>
        <v/>
      </c>
      <c r="B499" s="13">
        <f>'Master Cleaned Data Pipeline'!B494</f>
        <v/>
      </c>
      <c r="C499" s="14">
        <f>'Master Cleaned Data Pipeline'!I494</f>
        <v/>
      </c>
      <c r="D499" s="14">
        <f>'Master Cleaned Data Pipeline'!F494</f>
        <v/>
      </c>
      <c r="E499" s="15">
        <f>'Master Cleaned Data Pipeline'!G494</f>
        <v/>
      </c>
      <c r="F499" s="13">
        <f>IF(E499&gt;'Stats &amp; 3-Sigma Control Bounds'!$C$21, "🚨 ANOMALY SPIKE", IF(E499&lt;0, "💳 CREDIT", "NORMAL"))</f>
        <v/>
      </c>
      <c r="G499" s="16">
        <f>(E499-'Stats &amp; 3-Sigma Control Bounds'!$C$6)/'Stats &amp; 3-Sigma Control Bounds'!$C$9</f>
        <v/>
      </c>
      <c r="H499" s="14">
        <f>IF(F499="🚨 ANOMALY SPIKE", "IMMEDIATE ESCALATION TO ENGINEERING", IF(F499="💳 CREDIT", "AUDIT CREDIT ALLOCATION", "APPROVED USAGE"))</f>
        <v/>
      </c>
    </row>
    <row r="500">
      <c r="A500" s="13">
        <f>'Master Cleaned Data Pipeline'!A495</f>
        <v/>
      </c>
      <c r="B500" s="13">
        <f>'Master Cleaned Data Pipeline'!B495</f>
        <v/>
      </c>
      <c r="C500" s="14">
        <f>'Master Cleaned Data Pipeline'!I495</f>
        <v/>
      </c>
      <c r="D500" s="14">
        <f>'Master Cleaned Data Pipeline'!F495</f>
        <v/>
      </c>
      <c r="E500" s="15">
        <f>'Master Cleaned Data Pipeline'!G495</f>
        <v/>
      </c>
      <c r="F500" s="13">
        <f>IF(E500&gt;'Stats &amp; 3-Sigma Control Bounds'!$C$21, "🚨 ANOMALY SPIKE", IF(E500&lt;0, "💳 CREDIT", "NORMAL"))</f>
        <v/>
      </c>
      <c r="G500" s="16">
        <f>(E500-'Stats &amp; 3-Sigma Control Bounds'!$C$6)/'Stats &amp; 3-Sigma Control Bounds'!$C$9</f>
        <v/>
      </c>
      <c r="H500" s="14">
        <f>IF(F500="🚨 ANOMALY SPIKE", "IMMEDIATE ESCALATION TO ENGINEERING", IF(F500="💳 CREDIT", "AUDIT CREDIT ALLOCATION", "APPROVED USAGE"))</f>
        <v/>
      </c>
    </row>
    <row r="501">
      <c r="A501" s="13">
        <f>'Master Cleaned Data Pipeline'!A496</f>
        <v/>
      </c>
      <c r="B501" s="13">
        <f>'Master Cleaned Data Pipeline'!B496</f>
        <v/>
      </c>
      <c r="C501" s="14">
        <f>'Master Cleaned Data Pipeline'!I496</f>
        <v/>
      </c>
      <c r="D501" s="14">
        <f>'Master Cleaned Data Pipeline'!F496</f>
        <v/>
      </c>
      <c r="E501" s="15">
        <f>'Master Cleaned Data Pipeline'!G496</f>
        <v/>
      </c>
      <c r="F501" s="13">
        <f>IF(E501&gt;'Stats &amp; 3-Sigma Control Bounds'!$C$21, "🚨 ANOMALY SPIKE", IF(E501&lt;0, "💳 CREDIT", "NORMAL"))</f>
        <v/>
      </c>
      <c r="G501" s="16">
        <f>(E501-'Stats &amp; 3-Sigma Control Bounds'!$C$6)/'Stats &amp; 3-Sigma Control Bounds'!$C$9</f>
        <v/>
      </c>
      <c r="H501" s="14">
        <f>IF(F501="🚨 ANOMALY SPIKE", "IMMEDIATE ESCALATION TO ENGINEERING", IF(F501="💳 CREDIT", "AUDIT CREDIT ALLOCATION", "APPROVED USAGE"))</f>
        <v/>
      </c>
    </row>
    <row r="502">
      <c r="A502" s="13">
        <f>'Master Cleaned Data Pipeline'!A497</f>
        <v/>
      </c>
      <c r="B502" s="13">
        <f>'Master Cleaned Data Pipeline'!B497</f>
        <v/>
      </c>
      <c r="C502" s="14">
        <f>'Master Cleaned Data Pipeline'!I497</f>
        <v/>
      </c>
      <c r="D502" s="14">
        <f>'Master Cleaned Data Pipeline'!F497</f>
        <v/>
      </c>
      <c r="E502" s="15">
        <f>'Master Cleaned Data Pipeline'!G497</f>
        <v/>
      </c>
      <c r="F502" s="13">
        <f>IF(E502&gt;'Stats &amp; 3-Sigma Control Bounds'!$C$21, "🚨 ANOMALY SPIKE", IF(E502&lt;0, "💳 CREDIT", "NORMAL"))</f>
        <v/>
      </c>
      <c r="G502" s="16">
        <f>(E502-'Stats &amp; 3-Sigma Control Bounds'!$C$6)/'Stats &amp; 3-Sigma Control Bounds'!$C$9</f>
        <v/>
      </c>
      <c r="H502" s="14">
        <f>IF(F502="🚨 ANOMALY SPIKE", "IMMEDIATE ESCALATION TO ENGINEERING", IF(F502="💳 CREDIT", "AUDIT CREDIT ALLOCATION", "APPROVED USAGE"))</f>
        <v/>
      </c>
    </row>
    <row r="503">
      <c r="A503" s="13">
        <f>'Master Cleaned Data Pipeline'!A498</f>
        <v/>
      </c>
      <c r="B503" s="13">
        <f>'Master Cleaned Data Pipeline'!B498</f>
        <v/>
      </c>
      <c r="C503" s="14">
        <f>'Master Cleaned Data Pipeline'!I498</f>
        <v/>
      </c>
      <c r="D503" s="14">
        <f>'Master Cleaned Data Pipeline'!F498</f>
        <v/>
      </c>
      <c r="E503" s="15">
        <f>'Master Cleaned Data Pipeline'!G498</f>
        <v/>
      </c>
      <c r="F503" s="13">
        <f>IF(E503&gt;'Stats &amp; 3-Sigma Control Bounds'!$C$21, "🚨 ANOMALY SPIKE", IF(E503&lt;0, "💳 CREDIT", "NORMAL"))</f>
        <v/>
      </c>
      <c r="G503" s="16">
        <f>(E503-'Stats &amp; 3-Sigma Control Bounds'!$C$6)/'Stats &amp; 3-Sigma Control Bounds'!$C$9</f>
        <v/>
      </c>
      <c r="H503" s="14">
        <f>IF(F503="🚨 ANOMALY SPIKE", "IMMEDIATE ESCALATION TO ENGINEERING", IF(F503="💳 CREDIT", "AUDIT CREDIT ALLOCATION", "APPROVED USAGE"))</f>
        <v/>
      </c>
    </row>
    <row r="504">
      <c r="A504" s="13">
        <f>'Master Cleaned Data Pipeline'!A499</f>
        <v/>
      </c>
      <c r="B504" s="13">
        <f>'Master Cleaned Data Pipeline'!B499</f>
        <v/>
      </c>
      <c r="C504" s="14">
        <f>'Master Cleaned Data Pipeline'!I499</f>
        <v/>
      </c>
      <c r="D504" s="14">
        <f>'Master Cleaned Data Pipeline'!F499</f>
        <v/>
      </c>
      <c r="E504" s="15">
        <f>'Master Cleaned Data Pipeline'!G499</f>
        <v/>
      </c>
      <c r="F504" s="13">
        <f>IF(E504&gt;'Stats &amp; 3-Sigma Control Bounds'!$C$21, "🚨 ANOMALY SPIKE", IF(E504&lt;0, "💳 CREDIT", "NORMAL"))</f>
        <v/>
      </c>
      <c r="G504" s="16">
        <f>(E504-'Stats &amp; 3-Sigma Control Bounds'!$C$6)/'Stats &amp; 3-Sigma Control Bounds'!$C$9</f>
        <v/>
      </c>
      <c r="H504" s="14">
        <f>IF(F504="🚨 ANOMALY SPIKE", "IMMEDIATE ESCALATION TO ENGINEERING", IF(F504="💳 CREDIT", "AUDIT CREDIT ALLOCATION", "APPROVED USAGE"))</f>
        <v/>
      </c>
    </row>
  </sheetData>
  <mergeCells count="8">
    <mergeCell ref="A4:B4"/>
    <mergeCell ref="G4:H4"/>
    <mergeCell ref="J4:K4"/>
    <mergeCell ref="D5:E6"/>
    <mergeCell ref="A5:B6"/>
    <mergeCell ref="G5:H6"/>
    <mergeCell ref="D4:E4"/>
    <mergeCell ref="J5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25" customWidth="1" min="3" max="3"/>
    <col width="60" customWidth="1" min="4" max="4"/>
  </cols>
  <sheetData>
    <row r="1">
      <c r="A1" s="1" t="inlineStr">
        <is>
          <t>STATISTICAL DISTRIBUTION &amp; 3-SIGMA ANOMALY CONTROL BOUNDS</t>
        </is>
      </c>
    </row>
    <row r="2">
      <c r="A2" s="2" t="inlineStr">
        <is>
          <t>Parametric baseline statistics and statistical process control bounds for enterprise GCP spend.</t>
        </is>
      </c>
    </row>
    <row r="3"/>
    <row r="4">
      <c r="A4" s="3" t="inlineStr">
        <is>
          <t>PART 1: BASELINE SUMMARY STATISTICS (CLEANED SPEND)</t>
        </is>
      </c>
      <c r="B4" s="4" t="n"/>
      <c r="C4" s="4" t="n"/>
      <c r="D4" s="4" t="n"/>
    </row>
    <row r="5">
      <c r="A5" s="17" t="inlineStr">
        <is>
          <t>Statistical Metric</t>
        </is>
      </c>
      <c r="B5" s="17" t="inlineStr">
        <is>
          <t>Spreadsheet Formula Syntax</t>
        </is>
      </c>
      <c r="C5" s="17" t="inlineStr">
        <is>
          <t>Evaluated Value</t>
        </is>
      </c>
      <c r="D5" s="17" t="inlineStr">
        <is>
          <t>Analyst Benchmark Interpretation</t>
        </is>
      </c>
    </row>
    <row r="6">
      <c r="A6" s="18" t="inlineStr">
        <is>
          <t>Mean (Average Daily Line Item Spend)</t>
        </is>
      </c>
      <c r="B6" s="14">
        <f>AVERAGE('Master Cleaned Data Pipeline'!G5:G499)</f>
        <v/>
      </c>
      <c r="C6" s="19">
        <f>AVERAGE('Master Cleaned Data Pipeline'!G5:G499)</f>
        <v/>
      </c>
      <c r="D6" s="20" t="inlineStr">
        <is>
          <t>Arithmetic balance point across all transactions</t>
        </is>
      </c>
    </row>
    <row r="7">
      <c r="A7" s="18" t="inlineStr">
        <is>
          <t>Median (Typical Spend Baseline)</t>
        </is>
      </c>
      <c r="B7" s="14">
        <f>MEDIAN('Master Cleaned Data Pipeline'!G5:G499)</f>
        <v/>
      </c>
      <c r="C7" s="19">
        <f>MEDIAN('Master Cleaned Data Pipeline'!G5:G499)</f>
        <v/>
      </c>
      <c r="D7" s="20" t="inlineStr">
        <is>
          <t>50th percentile robust measure (resists outlier skew)</t>
        </is>
      </c>
    </row>
    <row r="8">
      <c r="A8" s="18" t="inlineStr">
        <is>
          <t>Sample Variance (S²)</t>
        </is>
      </c>
      <c r="B8" s="14">
        <f>VAR.S('Master Cleaned Data Pipeline'!G5:G499)</f>
        <v/>
      </c>
      <c r="C8" s="21">
        <f>VAR.S('Master Cleaned Data Pipeline'!G5:G499)</f>
        <v/>
      </c>
      <c r="D8" s="20" t="inlineStr">
        <is>
          <t>Average squared deviation from the mean (n-1 correction)</t>
        </is>
      </c>
    </row>
    <row r="9">
      <c r="A9" s="18" t="inlineStr">
        <is>
          <t>Sample Standard Deviation (σ)</t>
        </is>
      </c>
      <c r="B9" s="14">
        <f>STDEV.S('Master Cleaned Data Pipeline'!G5:G499)</f>
        <v/>
      </c>
      <c r="C9" s="19">
        <f>STDEV.S('Master Cleaned Data Pipeline'!G5:G499)</f>
        <v/>
      </c>
      <c r="D9" s="20" t="inlineStr">
        <is>
          <t>Standard volatility measure expressed in dollar units</t>
        </is>
      </c>
    </row>
    <row r="10">
      <c r="A10" s="18" t="inlineStr">
        <is>
          <t>Minimum Spend Record</t>
        </is>
      </c>
      <c r="B10" s="14">
        <f>MIN('Master Cleaned Data Pipeline'!G5:G499)</f>
        <v/>
      </c>
      <c r="C10" s="19">
        <f>MIN('Master Cleaned Data Pipeline'!G5:G499)</f>
        <v/>
      </c>
      <c r="D10" s="20" t="inlineStr">
        <is>
          <t>Largest negative credit adjustment in dataset</t>
        </is>
      </c>
    </row>
    <row r="11">
      <c r="A11" s="18" t="inlineStr">
        <is>
          <t>Maximum Spend Record</t>
        </is>
      </c>
      <c r="B11" s="14">
        <f>MAX('Master Cleaned Data Pipeline'!G5:G499)</f>
        <v/>
      </c>
      <c r="C11" s="19">
        <f>MAX('Master Cleaned Data Pipeline'!G5:G499)</f>
        <v/>
      </c>
      <c r="D11" s="20" t="inlineStr">
        <is>
          <t>Largest single runaway cost spike in dataset</t>
        </is>
      </c>
    </row>
    <row r="12">
      <c r="A12" s="18" t="inlineStr">
        <is>
          <t>Total Line Item Count (N)</t>
        </is>
      </c>
      <c r="B12" s="14">
        <f>COUNT('Master Cleaned Data Pipeline'!G5:G499)</f>
        <v/>
      </c>
      <c r="C12" s="22">
        <f>COUNT('Master Cleaned Data Pipeline'!G5:G499)</f>
        <v/>
      </c>
      <c r="D12" s="20" t="inlineStr">
        <is>
          <t>Total volume of processed billing line items</t>
        </is>
      </c>
    </row>
    <row r="13"/>
    <row r="14"/>
    <row r="15">
      <c r="A15" s="3" t="inlineStr">
        <is>
          <t>PART 2: STATISTICAL CONTROL BOUNDS &amp; ANOMALY THRESHOLDS</t>
        </is>
      </c>
      <c r="B15" s="4" t="n"/>
      <c r="C15" s="4" t="n"/>
      <c r="D15" s="4" t="n"/>
    </row>
    <row r="16">
      <c r="A16" s="17" t="inlineStr">
        <is>
          <t>Threshold Bound Level</t>
        </is>
      </c>
      <c r="B16" s="17" t="inlineStr">
        <is>
          <t>Mathematical Calculation Formula</t>
        </is>
      </c>
      <c r="C16" s="17" t="inlineStr">
        <is>
          <t>Dynamic Control Value</t>
        </is>
      </c>
      <c r="D16" s="17" t="inlineStr">
        <is>
          <t>Operational Guardrail Action</t>
        </is>
      </c>
    </row>
    <row r="17">
      <c r="A17" s="18" t="inlineStr">
        <is>
          <t>Baseline Mean (μ)</t>
        </is>
      </c>
      <c r="B17" s="14" t="inlineStr">
        <is>
          <t>Mean from Part 1 (Cell C6)</t>
        </is>
      </c>
      <c r="C17" s="19">
        <f>C6</f>
        <v/>
      </c>
      <c r="D17" s="20" t="inlineStr">
        <is>
          <t>Normal operational spend balance point</t>
        </is>
      </c>
    </row>
    <row r="18">
      <c r="A18" s="18" t="inlineStr">
        <is>
          <t>Standard Deviation (σ)</t>
        </is>
      </c>
      <c r="B18" s="14" t="inlineStr">
        <is>
          <t>StdDev from Part 1 (Cell C9)</t>
        </is>
      </c>
      <c r="C18" s="19">
        <f>C9</f>
        <v/>
      </c>
      <c r="D18" s="20" t="inlineStr">
        <is>
          <t>Standard daily volatility allowance</t>
        </is>
      </c>
    </row>
    <row r="19">
      <c r="A19" s="18" t="inlineStr">
        <is>
          <t>1-Sigma Upper Bound (+1σ)</t>
        </is>
      </c>
      <c r="B19" s="14" t="inlineStr">
        <is>
          <t>Mean + (1 * StdDev)</t>
        </is>
      </c>
      <c r="C19" s="19">
        <f>C17+(1*C18)</f>
        <v/>
      </c>
      <c r="D19" s="20" t="inlineStr">
        <is>
          <t>68.2% expected normal distribution boundary</t>
        </is>
      </c>
    </row>
    <row r="20">
      <c r="A20" s="18" t="inlineStr">
        <is>
          <t>2-Sigma Warning Bound (+2σ)</t>
        </is>
      </c>
      <c r="B20" s="14" t="inlineStr">
        <is>
          <t>Mean + (2 * StdDev)</t>
        </is>
      </c>
      <c r="C20" s="19">
        <f>C17+(2*C18)</f>
        <v/>
      </c>
      <c r="D20" s="20" t="inlineStr">
        <is>
          <t>95.4% boundary - High warning threshold</t>
        </is>
      </c>
    </row>
    <row r="21">
      <c r="A21" s="23" t="inlineStr">
        <is>
          <t>3-Sigma Upper Control Limit (+3σ)</t>
        </is>
      </c>
      <c r="B21" s="14" t="inlineStr">
        <is>
          <t>Mean + (3 * StdDev)</t>
        </is>
      </c>
      <c r="C21" s="24">
        <f>C17+(3*C18)</f>
        <v/>
      </c>
      <c r="D21" s="20" t="inlineStr">
        <is>
          <t>99.7% boundary - 🚨 AUTOMATED ANOMALY SPIKE ALARM</t>
        </is>
      </c>
    </row>
  </sheetData>
  <mergeCells count="2">
    <mergeCell ref="A15:D15"/>
    <mergeCell ref="A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9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15" customWidth="1" min="2" max="2"/>
    <col width="15" customWidth="1" min="3" max="3"/>
    <col width="21" customWidth="1" min="4" max="4"/>
    <col width="15" customWidth="1" min="5" max="5"/>
    <col width="15" customWidth="1" min="6" max="6"/>
    <col width="17" customWidth="1" min="7" max="7"/>
    <col width="27" customWidth="1" min="8" max="8"/>
    <col width="34" customWidth="1" min="9" max="9"/>
    <col width="37" customWidth="1" min="10" max="10"/>
  </cols>
  <sheetData>
    <row r="1">
      <c r="A1" s="1" t="inlineStr">
        <is>
          <t>DATA CLEANING &amp; GOVERNANCE PIPELINE LAYER</t>
        </is>
      </c>
    </row>
    <row r="2">
      <c r="A2" s="2" t="inlineStr">
        <is>
          <t>Automated de-duplication, null business unit assertion, and line-item credit unblending logic.</t>
        </is>
      </c>
    </row>
    <row r="3"/>
    <row r="4">
      <c r="A4" s="25" t="inlineStr">
        <is>
          <t>TXN ID</t>
        </is>
      </c>
      <c r="B4" s="25" t="inlineStr">
        <is>
          <t>Date</t>
        </is>
      </c>
      <c r="C4" s="25" t="inlineStr">
        <is>
          <t>Project ID</t>
        </is>
      </c>
      <c r="D4" s="25" t="inlineStr">
        <is>
          <t>Raw Business Unit</t>
        </is>
      </c>
      <c r="E4" s="25" t="inlineStr">
        <is>
          <t>Region</t>
        </is>
      </c>
      <c r="F4" s="25" t="inlineStr">
        <is>
          <t>GCP Service</t>
        </is>
      </c>
      <c r="G4" s="25" t="inlineStr">
        <is>
          <t>Raw Spend ($)</t>
        </is>
      </c>
      <c r="H4" s="25" t="inlineStr">
        <is>
          <t>Duplicate Flag (Task 1)</t>
        </is>
      </c>
      <c r="I4" s="25" t="inlineStr">
        <is>
          <t>Cleaned Business Unit (Task 2)</t>
        </is>
      </c>
      <c r="J4" s="25" t="inlineStr">
        <is>
          <t>Line Item Classification (Task 3)</t>
        </is>
      </c>
    </row>
    <row r="5">
      <c r="A5" s="13">
        <f>'Raw Enterprise Billing Data'!A5</f>
        <v/>
      </c>
      <c r="B5" s="13">
        <f>'Raw Enterprise Billing Data'!B5</f>
        <v/>
      </c>
      <c r="C5" s="13">
        <f>'Raw Enterprise Billing Data'!C5</f>
        <v/>
      </c>
      <c r="D5" s="14">
        <f>'Raw Enterprise Billing Data'!D5</f>
        <v/>
      </c>
      <c r="E5" s="13">
        <f>'Raw Enterprise Billing Data'!E5</f>
        <v/>
      </c>
      <c r="F5" s="14">
        <f>'Raw Enterprise Billing Data'!F5</f>
        <v/>
      </c>
      <c r="G5" s="15">
        <f>'Raw Enterprise Billing Data'!H5</f>
        <v/>
      </c>
      <c r="H5" s="13">
        <f>IF(COUNTIF($A$5:$A$499, A5)&gt;1, "⚠️ DUPLICATE", "UNIQUE")</f>
        <v/>
      </c>
      <c r="I5" s="14">
        <f>IF(OR(ISBLANK(D5), D5=""), "Unassigned", D5)</f>
        <v/>
      </c>
      <c r="J5" s="13">
        <f>IF(G5&lt;0, "CREDIT / ADJUSTMENT", "STANDARD USAGE")</f>
        <v/>
      </c>
    </row>
    <row r="6">
      <c r="A6" s="13">
        <f>'Raw Enterprise Billing Data'!A6</f>
        <v/>
      </c>
      <c r="B6" s="13">
        <f>'Raw Enterprise Billing Data'!B6</f>
        <v/>
      </c>
      <c r="C6" s="13">
        <f>'Raw Enterprise Billing Data'!C6</f>
        <v/>
      </c>
      <c r="D6" s="14">
        <f>'Raw Enterprise Billing Data'!D6</f>
        <v/>
      </c>
      <c r="E6" s="13">
        <f>'Raw Enterprise Billing Data'!E6</f>
        <v/>
      </c>
      <c r="F6" s="14">
        <f>'Raw Enterprise Billing Data'!F6</f>
        <v/>
      </c>
      <c r="G6" s="15">
        <f>'Raw Enterprise Billing Data'!H6</f>
        <v/>
      </c>
      <c r="H6" s="13">
        <f>IF(COUNTIF($A$5:$A$499, A6)&gt;1, "⚠️ DUPLICATE", "UNIQUE")</f>
        <v/>
      </c>
      <c r="I6" s="14">
        <f>IF(OR(ISBLANK(D6), D6=""), "Unassigned", D6)</f>
        <v/>
      </c>
      <c r="J6" s="13">
        <f>IF(G6&lt;0, "CREDIT / ADJUSTMENT", "STANDARD USAGE")</f>
        <v/>
      </c>
    </row>
    <row r="7">
      <c r="A7" s="13">
        <f>'Raw Enterprise Billing Data'!A7</f>
        <v/>
      </c>
      <c r="B7" s="13">
        <f>'Raw Enterprise Billing Data'!B7</f>
        <v/>
      </c>
      <c r="C7" s="13">
        <f>'Raw Enterprise Billing Data'!C7</f>
        <v/>
      </c>
      <c r="D7" s="14">
        <f>'Raw Enterprise Billing Data'!D7</f>
        <v/>
      </c>
      <c r="E7" s="13">
        <f>'Raw Enterprise Billing Data'!E7</f>
        <v/>
      </c>
      <c r="F7" s="14">
        <f>'Raw Enterprise Billing Data'!F7</f>
        <v/>
      </c>
      <c r="G7" s="15">
        <f>'Raw Enterprise Billing Data'!H7</f>
        <v/>
      </c>
      <c r="H7" s="13">
        <f>IF(COUNTIF($A$5:$A$499, A7)&gt;1, "⚠️ DUPLICATE", "UNIQUE")</f>
        <v/>
      </c>
      <c r="I7" s="14">
        <f>IF(OR(ISBLANK(D7), D7=""), "Unassigned", D7)</f>
        <v/>
      </c>
      <c r="J7" s="13">
        <f>IF(G7&lt;0, "CREDIT / ADJUSTMENT", "STANDARD USAGE")</f>
        <v/>
      </c>
    </row>
    <row r="8">
      <c r="A8" s="13">
        <f>'Raw Enterprise Billing Data'!A8</f>
        <v/>
      </c>
      <c r="B8" s="13">
        <f>'Raw Enterprise Billing Data'!B8</f>
        <v/>
      </c>
      <c r="C8" s="13">
        <f>'Raw Enterprise Billing Data'!C8</f>
        <v/>
      </c>
      <c r="D8" s="14">
        <f>'Raw Enterprise Billing Data'!D8</f>
        <v/>
      </c>
      <c r="E8" s="13">
        <f>'Raw Enterprise Billing Data'!E8</f>
        <v/>
      </c>
      <c r="F8" s="14">
        <f>'Raw Enterprise Billing Data'!F8</f>
        <v/>
      </c>
      <c r="G8" s="15">
        <f>'Raw Enterprise Billing Data'!H8</f>
        <v/>
      </c>
      <c r="H8" s="13">
        <f>IF(COUNTIF($A$5:$A$499, A8)&gt;1, "⚠️ DUPLICATE", "UNIQUE")</f>
        <v/>
      </c>
      <c r="I8" s="14">
        <f>IF(OR(ISBLANK(D8), D8=""), "Unassigned", D8)</f>
        <v/>
      </c>
      <c r="J8" s="13">
        <f>IF(G8&lt;0, "CREDIT / ADJUSTMENT", "STANDARD USAGE")</f>
        <v/>
      </c>
    </row>
    <row r="9">
      <c r="A9" s="13">
        <f>'Raw Enterprise Billing Data'!A9</f>
        <v/>
      </c>
      <c r="B9" s="13">
        <f>'Raw Enterprise Billing Data'!B9</f>
        <v/>
      </c>
      <c r="C9" s="13">
        <f>'Raw Enterprise Billing Data'!C9</f>
        <v/>
      </c>
      <c r="D9" s="14">
        <f>'Raw Enterprise Billing Data'!D9</f>
        <v/>
      </c>
      <c r="E9" s="13">
        <f>'Raw Enterprise Billing Data'!E9</f>
        <v/>
      </c>
      <c r="F9" s="14">
        <f>'Raw Enterprise Billing Data'!F9</f>
        <v/>
      </c>
      <c r="G9" s="15">
        <f>'Raw Enterprise Billing Data'!H9</f>
        <v/>
      </c>
      <c r="H9" s="13">
        <f>IF(COUNTIF($A$5:$A$499, A9)&gt;1, "⚠️ DUPLICATE", "UNIQUE")</f>
        <v/>
      </c>
      <c r="I9" s="14">
        <f>IF(OR(ISBLANK(D9), D9=""), "Unassigned", D9)</f>
        <v/>
      </c>
      <c r="J9" s="13">
        <f>IF(G9&lt;0, "CREDIT / ADJUSTMENT", "STANDARD USAGE")</f>
        <v/>
      </c>
    </row>
    <row r="10">
      <c r="A10" s="13">
        <f>'Raw Enterprise Billing Data'!A10</f>
        <v/>
      </c>
      <c r="B10" s="13">
        <f>'Raw Enterprise Billing Data'!B10</f>
        <v/>
      </c>
      <c r="C10" s="13">
        <f>'Raw Enterprise Billing Data'!C10</f>
        <v/>
      </c>
      <c r="D10" s="14">
        <f>'Raw Enterprise Billing Data'!D10</f>
        <v/>
      </c>
      <c r="E10" s="13">
        <f>'Raw Enterprise Billing Data'!E10</f>
        <v/>
      </c>
      <c r="F10" s="14">
        <f>'Raw Enterprise Billing Data'!F10</f>
        <v/>
      </c>
      <c r="G10" s="15">
        <f>'Raw Enterprise Billing Data'!H10</f>
        <v/>
      </c>
      <c r="H10" s="13">
        <f>IF(COUNTIF($A$5:$A$499, A10)&gt;1, "⚠️ DUPLICATE", "UNIQUE")</f>
        <v/>
      </c>
      <c r="I10" s="14">
        <f>IF(OR(ISBLANK(D10), D10=""), "Unassigned", D10)</f>
        <v/>
      </c>
      <c r="J10" s="13">
        <f>IF(G10&lt;0, "CREDIT / ADJUSTMENT", "STANDARD USAGE")</f>
        <v/>
      </c>
    </row>
    <row r="11">
      <c r="A11" s="13">
        <f>'Raw Enterprise Billing Data'!A11</f>
        <v/>
      </c>
      <c r="B11" s="13">
        <f>'Raw Enterprise Billing Data'!B11</f>
        <v/>
      </c>
      <c r="C11" s="13">
        <f>'Raw Enterprise Billing Data'!C11</f>
        <v/>
      </c>
      <c r="D11" s="14">
        <f>'Raw Enterprise Billing Data'!D11</f>
        <v/>
      </c>
      <c r="E11" s="13">
        <f>'Raw Enterprise Billing Data'!E11</f>
        <v/>
      </c>
      <c r="F11" s="14">
        <f>'Raw Enterprise Billing Data'!F11</f>
        <v/>
      </c>
      <c r="G11" s="15">
        <f>'Raw Enterprise Billing Data'!H11</f>
        <v/>
      </c>
      <c r="H11" s="13">
        <f>IF(COUNTIF($A$5:$A$499, A11)&gt;1, "⚠️ DUPLICATE", "UNIQUE")</f>
        <v/>
      </c>
      <c r="I11" s="14">
        <f>IF(OR(ISBLANK(D11), D11=""), "Unassigned", D11)</f>
        <v/>
      </c>
      <c r="J11" s="13">
        <f>IF(G11&lt;0, "CREDIT / ADJUSTMENT", "STANDARD USAGE")</f>
        <v/>
      </c>
    </row>
    <row r="12">
      <c r="A12" s="13">
        <f>'Raw Enterprise Billing Data'!A12</f>
        <v/>
      </c>
      <c r="B12" s="13">
        <f>'Raw Enterprise Billing Data'!B12</f>
        <v/>
      </c>
      <c r="C12" s="13">
        <f>'Raw Enterprise Billing Data'!C12</f>
        <v/>
      </c>
      <c r="D12" s="14">
        <f>'Raw Enterprise Billing Data'!D12</f>
        <v/>
      </c>
      <c r="E12" s="13">
        <f>'Raw Enterprise Billing Data'!E12</f>
        <v/>
      </c>
      <c r="F12" s="14">
        <f>'Raw Enterprise Billing Data'!F12</f>
        <v/>
      </c>
      <c r="G12" s="15">
        <f>'Raw Enterprise Billing Data'!H12</f>
        <v/>
      </c>
      <c r="H12" s="13">
        <f>IF(COUNTIF($A$5:$A$499, A12)&gt;1, "⚠️ DUPLICATE", "UNIQUE")</f>
        <v/>
      </c>
      <c r="I12" s="14">
        <f>IF(OR(ISBLANK(D12), D12=""), "Unassigned", D12)</f>
        <v/>
      </c>
      <c r="J12" s="13">
        <f>IF(G12&lt;0, "CREDIT / ADJUSTMENT", "STANDARD USAGE")</f>
        <v/>
      </c>
    </row>
    <row r="13">
      <c r="A13" s="13">
        <f>'Raw Enterprise Billing Data'!A13</f>
        <v/>
      </c>
      <c r="B13" s="13">
        <f>'Raw Enterprise Billing Data'!B13</f>
        <v/>
      </c>
      <c r="C13" s="13">
        <f>'Raw Enterprise Billing Data'!C13</f>
        <v/>
      </c>
      <c r="D13" s="14">
        <f>'Raw Enterprise Billing Data'!D13</f>
        <v/>
      </c>
      <c r="E13" s="13">
        <f>'Raw Enterprise Billing Data'!E13</f>
        <v/>
      </c>
      <c r="F13" s="14">
        <f>'Raw Enterprise Billing Data'!F13</f>
        <v/>
      </c>
      <c r="G13" s="15">
        <f>'Raw Enterprise Billing Data'!H13</f>
        <v/>
      </c>
      <c r="H13" s="13">
        <f>IF(COUNTIF($A$5:$A$499, A13)&gt;1, "⚠️ DUPLICATE", "UNIQUE")</f>
        <v/>
      </c>
      <c r="I13" s="14">
        <f>IF(OR(ISBLANK(D13), D13=""), "Unassigned", D13)</f>
        <v/>
      </c>
      <c r="J13" s="13">
        <f>IF(G13&lt;0, "CREDIT / ADJUSTMENT", "STANDARD USAGE")</f>
        <v/>
      </c>
    </row>
    <row r="14">
      <c r="A14" s="13">
        <f>'Raw Enterprise Billing Data'!A14</f>
        <v/>
      </c>
      <c r="B14" s="13">
        <f>'Raw Enterprise Billing Data'!B14</f>
        <v/>
      </c>
      <c r="C14" s="13">
        <f>'Raw Enterprise Billing Data'!C14</f>
        <v/>
      </c>
      <c r="D14" s="14">
        <f>'Raw Enterprise Billing Data'!D14</f>
        <v/>
      </c>
      <c r="E14" s="13">
        <f>'Raw Enterprise Billing Data'!E14</f>
        <v/>
      </c>
      <c r="F14" s="14">
        <f>'Raw Enterprise Billing Data'!F14</f>
        <v/>
      </c>
      <c r="G14" s="15">
        <f>'Raw Enterprise Billing Data'!H14</f>
        <v/>
      </c>
      <c r="H14" s="13">
        <f>IF(COUNTIF($A$5:$A$499, A14)&gt;1, "⚠️ DUPLICATE", "UNIQUE")</f>
        <v/>
      </c>
      <c r="I14" s="14">
        <f>IF(OR(ISBLANK(D14), D14=""), "Unassigned", D14)</f>
        <v/>
      </c>
      <c r="J14" s="13">
        <f>IF(G14&lt;0, "CREDIT / ADJUSTMENT", "STANDARD USAGE")</f>
        <v/>
      </c>
    </row>
    <row r="15">
      <c r="A15" s="13">
        <f>'Raw Enterprise Billing Data'!A15</f>
        <v/>
      </c>
      <c r="B15" s="13">
        <f>'Raw Enterprise Billing Data'!B15</f>
        <v/>
      </c>
      <c r="C15" s="13">
        <f>'Raw Enterprise Billing Data'!C15</f>
        <v/>
      </c>
      <c r="D15" s="14">
        <f>'Raw Enterprise Billing Data'!D15</f>
        <v/>
      </c>
      <c r="E15" s="13">
        <f>'Raw Enterprise Billing Data'!E15</f>
        <v/>
      </c>
      <c r="F15" s="14">
        <f>'Raw Enterprise Billing Data'!F15</f>
        <v/>
      </c>
      <c r="G15" s="15">
        <f>'Raw Enterprise Billing Data'!H15</f>
        <v/>
      </c>
      <c r="H15" s="13">
        <f>IF(COUNTIF($A$5:$A$499, A15)&gt;1, "⚠️ DUPLICATE", "UNIQUE")</f>
        <v/>
      </c>
      <c r="I15" s="14">
        <f>IF(OR(ISBLANK(D15), D15=""), "Unassigned", D15)</f>
        <v/>
      </c>
      <c r="J15" s="13">
        <f>IF(G15&lt;0, "CREDIT / ADJUSTMENT", "STANDARD USAGE")</f>
        <v/>
      </c>
    </row>
    <row r="16">
      <c r="A16" s="13">
        <f>'Raw Enterprise Billing Data'!A16</f>
        <v/>
      </c>
      <c r="B16" s="13">
        <f>'Raw Enterprise Billing Data'!B16</f>
        <v/>
      </c>
      <c r="C16" s="13">
        <f>'Raw Enterprise Billing Data'!C16</f>
        <v/>
      </c>
      <c r="D16" s="14">
        <f>'Raw Enterprise Billing Data'!D16</f>
        <v/>
      </c>
      <c r="E16" s="13">
        <f>'Raw Enterprise Billing Data'!E16</f>
        <v/>
      </c>
      <c r="F16" s="14">
        <f>'Raw Enterprise Billing Data'!F16</f>
        <v/>
      </c>
      <c r="G16" s="15">
        <f>'Raw Enterprise Billing Data'!H16</f>
        <v/>
      </c>
      <c r="H16" s="13">
        <f>IF(COUNTIF($A$5:$A$499, A16)&gt;1, "⚠️ DUPLICATE", "UNIQUE")</f>
        <v/>
      </c>
      <c r="I16" s="14">
        <f>IF(OR(ISBLANK(D16), D16=""), "Unassigned", D16)</f>
        <v/>
      </c>
      <c r="J16" s="13">
        <f>IF(G16&lt;0, "CREDIT / ADJUSTMENT", "STANDARD USAGE")</f>
        <v/>
      </c>
    </row>
    <row r="17">
      <c r="A17" s="13">
        <f>'Raw Enterprise Billing Data'!A17</f>
        <v/>
      </c>
      <c r="B17" s="13">
        <f>'Raw Enterprise Billing Data'!B17</f>
        <v/>
      </c>
      <c r="C17" s="13">
        <f>'Raw Enterprise Billing Data'!C17</f>
        <v/>
      </c>
      <c r="D17" s="14">
        <f>'Raw Enterprise Billing Data'!D17</f>
        <v/>
      </c>
      <c r="E17" s="13">
        <f>'Raw Enterprise Billing Data'!E17</f>
        <v/>
      </c>
      <c r="F17" s="14">
        <f>'Raw Enterprise Billing Data'!F17</f>
        <v/>
      </c>
      <c r="G17" s="15">
        <f>'Raw Enterprise Billing Data'!H17</f>
        <v/>
      </c>
      <c r="H17" s="13">
        <f>IF(COUNTIF($A$5:$A$499, A17)&gt;1, "⚠️ DUPLICATE", "UNIQUE")</f>
        <v/>
      </c>
      <c r="I17" s="14">
        <f>IF(OR(ISBLANK(D17), D17=""), "Unassigned", D17)</f>
        <v/>
      </c>
      <c r="J17" s="13">
        <f>IF(G17&lt;0, "CREDIT / ADJUSTMENT", "STANDARD USAGE")</f>
        <v/>
      </c>
    </row>
    <row r="18">
      <c r="A18" s="13">
        <f>'Raw Enterprise Billing Data'!A18</f>
        <v/>
      </c>
      <c r="B18" s="13">
        <f>'Raw Enterprise Billing Data'!B18</f>
        <v/>
      </c>
      <c r="C18" s="13">
        <f>'Raw Enterprise Billing Data'!C18</f>
        <v/>
      </c>
      <c r="D18" s="14">
        <f>'Raw Enterprise Billing Data'!D18</f>
        <v/>
      </c>
      <c r="E18" s="13">
        <f>'Raw Enterprise Billing Data'!E18</f>
        <v/>
      </c>
      <c r="F18" s="14">
        <f>'Raw Enterprise Billing Data'!F18</f>
        <v/>
      </c>
      <c r="G18" s="15">
        <f>'Raw Enterprise Billing Data'!H18</f>
        <v/>
      </c>
      <c r="H18" s="13">
        <f>IF(COUNTIF($A$5:$A$499, A18)&gt;1, "⚠️ DUPLICATE", "UNIQUE")</f>
        <v/>
      </c>
      <c r="I18" s="14">
        <f>IF(OR(ISBLANK(D18), D18=""), "Unassigned", D18)</f>
        <v/>
      </c>
      <c r="J18" s="13">
        <f>IF(G18&lt;0, "CREDIT / ADJUSTMENT", "STANDARD USAGE")</f>
        <v/>
      </c>
    </row>
    <row r="19">
      <c r="A19" s="13">
        <f>'Raw Enterprise Billing Data'!A19</f>
        <v/>
      </c>
      <c r="B19" s="13">
        <f>'Raw Enterprise Billing Data'!B19</f>
        <v/>
      </c>
      <c r="C19" s="13">
        <f>'Raw Enterprise Billing Data'!C19</f>
        <v/>
      </c>
      <c r="D19" s="14">
        <f>'Raw Enterprise Billing Data'!D19</f>
        <v/>
      </c>
      <c r="E19" s="13">
        <f>'Raw Enterprise Billing Data'!E19</f>
        <v/>
      </c>
      <c r="F19" s="14">
        <f>'Raw Enterprise Billing Data'!F19</f>
        <v/>
      </c>
      <c r="G19" s="15">
        <f>'Raw Enterprise Billing Data'!H19</f>
        <v/>
      </c>
      <c r="H19" s="13">
        <f>IF(COUNTIF($A$5:$A$499, A19)&gt;1, "⚠️ DUPLICATE", "UNIQUE")</f>
        <v/>
      </c>
      <c r="I19" s="14">
        <f>IF(OR(ISBLANK(D19), D19=""), "Unassigned", D19)</f>
        <v/>
      </c>
      <c r="J19" s="13">
        <f>IF(G19&lt;0, "CREDIT / ADJUSTMENT", "STANDARD USAGE")</f>
        <v/>
      </c>
    </row>
    <row r="20">
      <c r="A20" s="13">
        <f>'Raw Enterprise Billing Data'!A20</f>
        <v/>
      </c>
      <c r="B20" s="13">
        <f>'Raw Enterprise Billing Data'!B20</f>
        <v/>
      </c>
      <c r="C20" s="13">
        <f>'Raw Enterprise Billing Data'!C20</f>
        <v/>
      </c>
      <c r="D20" s="14">
        <f>'Raw Enterprise Billing Data'!D20</f>
        <v/>
      </c>
      <c r="E20" s="13">
        <f>'Raw Enterprise Billing Data'!E20</f>
        <v/>
      </c>
      <c r="F20" s="14">
        <f>'Raw Enterprise Billing Data'!F20</f>
        <v/>
      </c>
      <c r="G20" s="15">
        <f>'Raw Enterprise Billing Data'!H20</f>
        <v/>
      </c>
      <c r="H20" s="13">
        <f>IF(COUNTIF($A$5:$A$499, A20)&gt;1, "⚠️ DUPLICATE", "UNIQUE")</f>
        <v/>
      </c>
      <c r="I20" s="14">
        <f>IF(OR(ISBLANK(D20), D20=""), "Unassigned", D20)</f>
        <v/>
      </c>
      <c r="J20" s="13">
        <f>IF(G20&lt;0, "CREDIT / ADJUSTMENT", "STANDARD USAGE")</f>
        <v/>
      </c>
    </row>
    <row r="21">
      <c r="A21" s="13">
        <f>'Raw Enterprise Billing Data'!A21</f>
        <v/>
      </c>
      <c r="B21" s="13">
        <f>'Raw Enterprise Billing Data'!B21</f>
        <v/>
      </c>
      <c r="C21" s="13">
        <f>'Raw Enterprise Billing Data'!C21</f>
        <v/>
      </c>
      <c r="D21" s="14">
        <f>'Raw Enterprise Billing Data'!D21</f>
        <v/>
      </c>
      <c r="E21" s="13">
        <f>'Raw Enterprise Billing Data'!E21</f>
        <v/>
      </c>
      <c r="F21" s="14">
        <f>'Raw Enterprise Billing Data'!F21</f>
        <v/>
      </c>
      <c r="G21" s="15">
        <f>'Raw Enterprise Billing Data'!H21</f>
        <v/>
      </c>
      <c r="H21" s="13">
        <f>IF(COUNTIF($A$5:$A$499, A21)&gt;1, "⚠️ DUPLICATE", "UNIQUE")</f>
        <v/>
      </c>
      <c r="I21" s="14">
        <f>IF(OR(ISBLANK(D21), D21=""), "Unassigned", D21)</f>
        <v/>
      </c>
      <c r="J21" s="13">
        <f>IF(G21&lt;0, "CREDIT / ADJUSTMENT", "STANDARD USAGE")</f>
        <v/>
      </c>
    </row>
    <row r="22">
      <c r="A22" s="13">
        <f>'Raw Enterprise Billing Data'!A22</f>
        <v/>
      </c>
      <c r="B22" s="13">
        <f>'Raw Enterprise Billing Data'!B22</f>
        <v/>
      </c>
      <c r="C22" s="13">
        <f>'Raw Enterprise Billing Data'!C22</f>
        <v/>
      </c>
      <c r="D22" s="14">
        <f>'Raw Enterprise Billing Data'!D22</f>
        <v/>
      </c>
      <c r="E22" s="13">
        <f>'Raw Enterprise Billing Data'!E22</f>
        <v/>
      </c>
      <c r="F22" s="14">
        <f>'Raw Enterprise Billing Data'!F22</f>
        <v/>
      </c>
      <c r="G22" s="15">
        <f>'Raw Enterprise Billing Data'!H22</f>
        <v/>
      </c>
      <c r="H22" s="13">
        <f>IF(COUNTIF($A$5:$A$499, A22)&gt;1, "⚠️ DUPLICATE", "UNIQUE")</f>
        <v/>
      </c>
      <c r="I22" s="14">
        <f>IF(OR(ISBLANK(D22), D22=""), "Unassigned", D22)</f>
        <v/>
      </c>
      <c r="J22" s="13">
        <f>IF(G22&lt;0, "CREDIT / ADJUSTMENT", "STANDARD USAGE")</f>
        <v/>
      </c>
    </row>
    <row r="23">
      <c r="A23" s="13">
        <f>'Raw Enterprise Billing Data'!A23</f>
        <v/>
      </c>
      <c r="B23" s="13">
        <f>'Raw Enterprise Billing Data'!B23</f>
        <v/>
      </c>
      <c r="C23" s="13">
        <f>'Raw Enterprise Billing Data'!C23</f>
        <v/>
      </c>
      <c r="D23" s="14">
        <f>'Raw Enterprise Billing Data'!D23</f>
        <v/>
      </c>
      <c r="E23" s="13">
        <f>'Raw Enterprise Billing Data'!E23</f>
        <v/>
      </c>
      <c r="F23" s="14">
        <f>'Raw Enterprise Billing Data'!F23</f>
        <v/>
      </c>
      <c r="G23" s="15">
        <f>'Raw Enterprise Billing Data'!H23</f>
        <v/>
      </c>
      <c r="H23" s="13">
        <f>IF(COUNTIF($A$5:$A$499, A23)&gt;1, "⚠️ DUPLICATE", "UNIQUE")</f>
        <v/>
      </c>
      <c r="I23" s="14">
        <f>IF(OR(ISBLANK(D23), D23=""), "Unassigned", D23)</f>
        <v/>
      </c>
      <c r="J23" s="13">
        <f>IF(G23&lt;0, "CREDIT / ADJUSTMENT", "STANDARD USAGE")</f>
        <v/>
      </c>
    </row>
    <row r="24">
      <c r="A24" s="13">
        <f>'Raw Enterprise Billing Data'!A24</f>
        <v/>
      </c>
      <c r="B24" s="13">
        <f>'Raw Enterprise Billing Data'!B24</f>
        <v/>
      </c>
      <c r="C24" s="13">
        <f>'Raw Enterprise Billing Data'!C24</f>
        <v/>
      </c>
      <c r="D24" s="14">
        <f>'Raw Enterprise Billing Data'!D24</f>
        <v/>
      </c>
      <c r="E24" s="13">
        <f>'Raw Enterprise Billing Data'!E24</f>
        <v/>
      </c>
      <c r="F24" s="14">
        <f>'Raw Enterprise Billing Data'!F24</f>
        <v/>
      </c>
      <c r="G24" s="15">
        <f>'Raw Enterprise Billing Data'!H24</f>
        <v/>
      </c>
      <c r="H24" s="13">
        <f>IF(COUNTIF($A$5:$A$499, A24)&gt;1, "⚠️ DUPLICATE", "UNIQUE")</f>
        <v/>
      </c>
      <c r="I24" s="14">
        <f>IF(OR(ISBLANK(D24), D24=""), "Unassigned", D24)</f>
        <v/>
      </c>
      <c r="J24" s="13">
        <f>IF(G24&lt;0, "CREDIT / ADJUSTMENT", "STANDARD USAGE")</f>
        <v/>
      </c>
    </row>
    <row r="25">
      <c r="A25" s="13">
        <f>'Raw Enterprise Billing Data'!A25</f>
        <v/>
      </c>
      <c r="B25" s="13">
        <f>'Raw Enterprise Billing Data'!B25</f>
        <v/>
      </c>
      <c r="C25" s="13">
        <f>'Raw Enterprise Billing Data'!C25</f>
        <v/>
      </c>
      <c r="D25" s="14">
        <f>'Raw Enterprise Billing Data'!D25</f>
        <v/>
      </c>
      <c r="E25" s="13">
        <f>'Raw Enterprise Billing Data'!E25</f>
        <v/>
      </c>
      <c r="F25" s="14">
        <f>'Raw Enterprise Billing Data'!F25</f>
        <v/>
      </c>
      <c r="G25" s="15">
        <f>'Raw Enterprise Billing Data'!H25</f>
        <v/>
      </c>
      <c r="H25" s="13">
        <f>IF(COUNTIF($A$5:$A$499, A25)&gt;1, "⚠️ DUPLICATE", "UNIQUE")</f>
        <v/>
      </c>
      <c r="I25" s="14">
        <f>IF(OR(ISBLANK(D25), D25=""), "Unassigned", D25)</f>
        <v/>
      </c>
      <c r="J25" s="13">
        <f>IF(G25&lt;0, "CREDIT / ADJUSTMENT", "STANDARD USAGE")</f>
        <v/>
      </c>
    </row>
    <row r="26">
      <c r="A26" s="13">
        <f>'Raw Enterprise Billing Data'!A26</f>
        <v/>
      </c>
      <c r="B26" s="13">
        <f>'Raw Enterprise Billing Data'!B26</f>
        <v/>
      </c>
      <c r="C26" s="13">
        <f>'Raw Enterprise Billing Data'!C26</f>
        <v/>
      </c>
      <c r="D26" s="14">
        <f>'Raw Enterprise Billing Data'!D26</f>
        <v/>
      </c>
      <c r="E26" s="13">
        <f>'Raw Enterprise Billing Data'!E26</f>
        <v/>
      </c>
      <c r="F26" s="14">
        <f>'Raw Enterprise Billing Data'!F26</f>
        <v/>
      </c>
      <c r="G26" s="15">
        <f>'Raw Enterprise Billing Data'!H26</f>
        <v/>
      </c>
      <c r="H26" s="13">
        <f>IF(COUNTIF($A$5:$A$499, A26)&gt;1, "⚠️ DUPLICATE", "UNIQUE")</f>
        <v/>
      </c>
      <c r="I26" s="14">
        <f>IF(OR(ISBLANK(D26), D26=""), "Unassigned", D26)</f>
        <v/>
      </c>
      <c r="J26" s="13">
        <f>IF(G26&lt;0, "CREDIT / ADJUSTMENT", "STANDARD USAGE")</f>
        <v/>
      </c>
    </row>
    <row r="27">
      <c r="A27" s="13">
        <f>'Raw Enterprise Billing Data'!A27</f>
        <v/>
      </c>
      <c r="B27" s="13">
        <f>'Raw Enterprise Billing Data'!B27</f>
        <v/>
      </c>
      <c r="C27" s="13">
        <f>'Raw Enterprise Billing Data'!C27</f>
        <v/>
      </c>
      <c r="D27" s="14">
        <f>'Raw Enterprise Billing Data'!D27</f>
        <v/>
      </c>
      <c r="E27" s="13">
        <f>'Raw Enterprise Billing Data'!E27</f>
        <v/>
      </c>
      <c r="F27" s="14">
        <f>'Raw Enterprise Billing Data'!F27</f>
        <v/>
      </c>
      <c r="G27" s="15">
        <f>'Raw Enterprise Billing Data'!H27</f>
        <v/>
      </c>
      <c r="H27" s="13">
        <f>IF(COUNTIF($A$5:$A$499, A27)&gt;1, "⚠️ DUPLICATE", "UNIQUE")</f>
        <v/>
      </c>
      <c r="I27" s="14">
        <f>IF(OR(ISBLANK(D27), D27=""), "Unassigned", D27)</f>
        <v/>
      </c>
      <c r="J27" s="13">
        <f>IF(G27&lt;0, "CREDIT / ADJUSTMENT", "STANDARD USAGE")</f>
        <v/>
      </c>
    </row>
    <row r="28">
      <c r="A28" s="13">
        <f>'Raw Enterprise Billing Data'!A28</f>
        <v/>
      </c>
      <c r="B28" s="13">
        <f>'Raw Enterprise Billing Data'!B28</f>
        <v/>
      </c>
      <c r="C28" s="13">
        <f>'Raw Enterprise Billing Data'!C28</f>
        <v/>
      </c>
      <c r="D28" s="14">
        <f>'Raw Enterprise Billing Data'!D28</f>
        <v/>
      </c>
      <c r="E28" s="13">
        <f>'Raw Enterprise Billing Data'!E28</f>
        <v/>
      </c>
      <c r="F28" s="14">
        <f>'Raw Enterprise Billing Data'!F28</f>
        <v/>
      </c>
      <c r="G28" s="15">
        <f>'Raw Enterprise Billing Data'!H28</f>
        <v/>
      </c>
      <c r="H28" s="13">
        <f>IF(COUNTIF($A$5:$A$499, A28)&gt;1, "⚠️ DUPLICATE", "UNIQUE")</f>
        <v/>
      </c>
      <c r="I28" s="14">
        <f>IF(OR(ISBLANK(D28), D28=""), "Unassigned", D28)</f>
        <v/>
      </c>
      <c r="J28" s="13">
        <f>IF(G28&lt;0, "CREDIT / ADJUSTMENT", "STANDARD USAGE")</f>
        <v/>
      </c>
    </row>
    <row r="29">
      <c r="A29" s="13">
        <f>'Raw Enterprise Billing Data'!A29</f>
        <v/>
      </c>
      <c r="B29" s="13">
        <f>'Raw Enterprise Billing Data'!B29</f>
        <v/>
      </c>
      <c r="C29" s="13">
        <f>'Raw Enterprise Billing Data'!C29</f>
        <v/>
      </c>
      <c r="D29" s="14">
        <f>'Raw Enterprise Billing Data'!D29</f>
        <v/>
      </c>
      <c r="E29" s="13">
        <f>'Raw Enterprise Billing Data'!E29</f>
        <v/>
      </c>
      <c r="F29" s="14">
        <f>'Raw Enterprise Billing Data'!F29</f>
        <v/>
      </c>
      <c r="G29" s="15">
        <f>'Raw Enterprise Billing Data'!H29</f>
        <v/>
      </c>
      <c r="H29" s="13">
        <f>IF(COUNTIF($A$5:$A$499, A29)&gt;1, "⚠️ DUPLICATE", "UNIQUE")</f>
        <v/>
      </c>
      <c r="I29" s="14">
        <f>IF(OR(ISBLANK(D29), D29=""), "Unassigned", D29)</f>
        <v/>
      </c>
      <c r="J29" s="13">
        <f>IF(G29&lt;0, "CREDIT / ADJUSTMENT", "STANDARD USAGE")</f>
        <v/>
      </c>
    </row>
    <row r="30">
      <c r="A30" s="13">
        <f>'Raw Enterprise Billing Data'!A30</f>
        <v/>
      </c>
      <c r="B30" s="13">
        <f>'Raw Enterprise Billing Data'!B30</f>
        <v/>
      </c>
      <c r="C30" s="13">
        <f>'Raw Enterprise Billing Data'!C30</f>
        <v/>
      </c>
      <c r="D30" s="14">
        <f>'Raw Enterprise Billing Data'!D30</f>
        <v/>
      </c>
      <c r="E30" s="13">
        <f>'Raw Enterprise Billing Data'!E30</f>
        <v/>
      </c>
      <c r="F30" s="14">
        <f>'Raw Enterprise Billing Data'!F30</f>
        <v/>
      </c>
      <c r="G30" s="15">
        <f>'Raw Enterprise Billing Data'!H30</f>
        <v/>
      </c>
      <c r="H30" s="13">
        <f>IF(COUNTIF($A$5:$A$499, A30)&gt;1, "⚠️ DUPLICATE", "UNIQUE")</f>
        <v/>
      </c>
      <c r="I30" s="14">
        <f>IF(OR(ISBLANK(D30), D30=""), "Unassigned", D30)</f>
        <v/>
      </c>
      <c r="J30" s="13">
        <f>IF(G30&lt;0, "CREDIT / ADJUSTMENT", "STANDARD USAGE")</f>
        <v/>
      </c>
    </row>
    <row r="31">
      <c r="A31" s="13">
        <f>'Raw Enterprise Billing Data'!A31</f>
        <v/>
      </c>
      <c r="B31" s="13">
        <f>'Raw Enterprise Billing Data'!B31</f>
        <v/>
      </c>
      <c r="C31" s="13">
        <f>'Raw Enterprise Billing Data'!C31</f>
        <v/>
      </c>
      <c r="D31" s="14">
        <f>'Raw Enterprise Billing Data'!D31</f>
        <v/>
      </c>
      <c r="E31" s="13">
        <f>'Raw Enterprise Billing Data'!E31</f>
        <v/>
      </c>
      <c r="F31" s="14">
        <f>'Raw Enterprise Billing Data'!F31</f>
        <v/>
      </c>
      <c r="G31" s="15">
        <f>'Raw Enterprise Billing Data'!H31</f>
        <v/>
      </c>
      <c r="H31" s="13">
        <f>IF(COUNTIF($A$5:$A$499, A31)&gt;1, "⚠️ DUPLICATE", "UNIQUE")</f>
        <v/>
      </c>
      <c r="I31" s="14">
        <f>IF(OR(ISBLANK(D31), D31=""), "Unassigned", D31)</f>
        <v/>
      </c>
      <c r="J31" s="13">
        <f>IF(G31&lt;0, "CREDIT / ADJUSTMENT", "STANDARD USAGE")</f>
        <v/>
      </c>
    </row>
    <row r="32">
      <c r="A32" s="13">
        <f>'Raw Enterprise Billing Data'!A32</f>
        <v/>
      </c>
      <c r="B32" s="13">
        <f>'Raw Enterprise Billing Data'!B32</f>
        <v/>
      </c>
      <c r="C32" s="13">
        <f>'Raw Enterprise Billing Data'!C32</f>
        <v/>
      </c>
      <c r="D32" s="14">
        <f>'Raw Enterprise Billing Data'!D32</f>
        <v/>
      </c>
      <c r="E32" s="13">
        <f>'Raw Enterprise Billing Data'!E32</f>
        <v/>
      </c>
      <c r="F32" s="14">
        <f>'Raw Enterprise Billing Data'!F32</f>
        <v/>
      </c>
      <c r="G32" s="15">
        <f>'Raw Enterprise Billing Data'!H32</f>
        <v/>
      </c>
      <c r="H32" s="13">
        <f>IF(COUNTIF($A$5:$A$499, A32)&gt;1, "⚠️ DUPLICATE", "UNIQUE")</f>
        <v/>
      </c>
      <c r="I32" s="14">
        <f>IF(OR(ISBLANK(D32), D32=""), "Unassigned", D32)</f>
        <v/>
      </c>
      <c r="J32" s="13">
        <f>IF(G32&lt;0, "CREDIT / ADJUSTMENT", "STANDARD USAGE")</f>
        <v/>
      </c>
    </row>
    <row r="33">
      <c r="A33" s="13">
        <f>'Raw Enterprise Billing Data'!A33</f>
        <v/>
      </c>
      <c r="B33" s="13">
        <f>'Raw Enterprise Billing Data'!B33</f>
        <v/>
      </c>
      <c r="C33" s="13">
        <f>'Raw Enterprise Billing Data'!C33</f>
        <v/>
      </c>
      <c r="D33" s="14">
        <f>'Raw Enterprise Billing Data'!D33</f>
        <v/>
      </c>
      <c r="E33" s="13">
        <f>'Raw Enterprise Billing Data'!E33</f>
        <v/>
      </c>
      <c r="F33" s="14">
        <f>'Raw Enterprise Billing Data'!F33</f>
        <v/>
      </c>
      <c r="G33" s="15">
        <f>'Raw Enterprise Billing Data'!H33</f>
        <v/>
      </c>
      <c r="H33" s="13">
        <f>IF(COUNTIF($A$5:$A$499, A33)&gt;1, "⚠️ DUPLICATE", "UNIQUE")</f>
        <v/>
      </c>
      <c r="I33" s="14">
        <f>IF(OR(ISBLANK(D33), D33=""), "Unassigned", D33)</f>
        <v/>
      </c>
      <c r="J33" s="13">
        <f>IF(G33&lt;0, "CREDIT / ADJUSTMENT", "STANDARD USAGE")</f>
        <v/>
      </c>
    </row>
    <row r="34">
      <c r="A34" s="13">
        <f>'Raw Enterprise Billing Data'!A34</f>
        <v/>
      </c>
      <c r="B34" s="13">
        <f>'Raw Enterprise Billing Data'!B34</f>
        <v/>
      </c>
      <c r="C34" s="13">
        <f>'Raw Enterprise Billing Data'!C34</f>
        <v/>
      </c>
      <c r="D34" s="14">
        <f>'Raw Enterprise Billing Data'!D34</f>
        <v/>
      </c>
      <c r="E34" s="13">
        <f>'Raw Enterprise Billing Data'!E34</f>
        <v/>
      </c>
      <c r="F34" s="14">
        <f>'Raw Enterprise Billing Data'!F34</f>
        <v/>
      </c>
      <c r="G34" s="15">
        <f>'Raw Enterprise Billing Data'!H34</f>
        <v/>
      </c>
      <c r="H34" s="13">
        <f>IF(COUNTIF($A$5:$A$499, A34)&gt;1, "⚠️ DUPLICATE", "UNIQUE")</f>
        <v/>
      </c>
      <c r="I34" s="14">
        <f>IF(OR(ISBLANK(D34), D34=""), "Unassigned", D34)</f>
        <v/>
      </c>
      <c r="J34" s="13">
        <f>IF(G34&lt;0, "CREDIT / ADJUSTMENT", "STANDARD USAGE")</f>
        <v/>
      </c>
    </row>
    <row r="35">
      <c r="A35" s="13">
        <f>'Raw Enterprise Billing Data'!A35</f>
        <v/>
      </c>
      <c r="B35" s="13">
        <f>'Raw Enterprise Billing Data'!B35</f>
        <v/>
      </c>
      <c r="C35" s="13">
        <f>'Raw Enterprise Billing Data'!C35</f>
        <v/>
      </c>
      <c r="D35" s="14">
        <f>'Raw Enterprise Billing Data'!D35</f>
        <v/>
      </c>
      <c r="E35" s="13">
        <f>'Raw Enterprise Billing Data'!E35</f>
        <v/>
      </c>
      <c r="F35" s="14">
        <f>'Raw Enterprise Billing Data'!F35</f>
        <v/>
      </c>
      <c r="G35" s="15">
        <f>'Raw Enterprise Billing Data'!H35</f>
        <v/>
      </c>
      <c r="H35" s="13">
        <f>IF(COUNTIF($A$5:$A$499, A35)&gt;1, "⚠️ DUPLICATE", "UNIQUE")</f>
        <v/>
      </c>
      <c r="I35" s="14">
        <f>IF(OR(ISBLANK(D35), D35=""), "Unassigned", D35)</f>
        <v/>
      </c>
      <c r="J35" s="13">
        <f>IF(G35&lt;0, "CREDIT / ADJUSTMENT", "STANDARD USAGE")</f>
        <v/>
      </c>
    </row>
    <row r="36">
      <c r="A36" s="13">
        <f>'Raw Enterprise Billing Data'!A36</f>
        <v/>
      </c>
      <c r="B36" s="13">
        <f>'Raw Enterprise Billing Data'!B36</f>
        <v/>
      </c>
      <c r="C36" s="13">
        <f>'Raw Enterprise Billing Data'!C36</f>
        <v/>
      </c>
      <c r="D36" s="14">
        <f>'Raw Enterprise Billing Data'!D36</f>
        <v/>
      </c>
      <c r="E36" s="13">
        <f>'Raw Enterprise Billing Data'!E36</f>
        <v/>
      </c>
      <c r="F36" s="14">
        <f>'Raw Enterprise Billing Data'!F36</f>
        <v/>
      </c>
      <c r="G36" s="15">
        <f>'Raw Enterprise Billing Data'!H36</f>
        <v/>
      </c>
      <c r="H36" s="13">
        <f>IF(COUNTIF($A$5:$A$499, A36)&gt;1, "⚠️ DUPLICATE", "UNIQUE")</f>
        <v/>
      </c>
      <c r="I36" s="14">
        <f>IF(OR(ISBLANK(D36), D36=""), "Unassigned", D36)</f>
        <v/>
      </c>
      <c r="J36" s="13">
        <f>IF(G36&lt;0, "CREDIT / ADJUSTMENT", "STANDARD USAGE")</f>
        <v/>
      </c>
    </row>
    <row r="37">
      <c r="A37" s="13">
        <f>'Raw Enterprise Billing Data'!A37</f>
        <v/>
      </c>
      <c r="B37" s="13">
        <f>'Raw Enterprise Billing Data'!B37</f>
        <v/>
      </c>
      <c r="C37" s="13">
        <f>'Raw Enterprise Billing Data'!C37</f>
        <v/>
      </c>
      <c r="D37" s="14">
        <f>'Raw Enterprise Billing Data'!D37</f>
        <v/>
      </c>
      <c r="E37" s="13">
        <f>'Raw Enterprise Billing Data'!E37</f>
        <v/>
      </c>
      <c r="F37" s="14">
        <f>'Raw Enterprise Billing Data'!F37</f>
        <v/>
      </c>
      <c r="G37" s="15">
        <f>'Raw Enterprise Billing Data'!H37</f>
        <v/>
      </c>
      <c r="H37" s="13">
        <f>IF(COUNTIF($A$5:$A$499, A37)&gt;1, "⚠️ DUPLICATE", "UNIQUE")</f>
        <v/>
      </c>
      <c r="I37" s="14">
        <f>IF(OR(ISBLANK(D37), D37=""), "Unassigned", D37)</f>
        <v/>
      </c>
      <c r="J37" s="13">
        <f>IF(G37&lt;0, "CREDIT / ADJUSTMENT", "STANDARD USAGE")</f>
        <v/>
      </c>
    </row>
    <row r="38">
      <c r="A38" s="13">
        <f>'Raw Enterprise Billing Data'!A38</f>
        <v/>
      </c>
      <c r="B38" s="13">
        <f>'Raw Enterprise Billing Data'!B38</f>
        <v/>
      </c>
      <c r="C38" s="13">
        <f>'Raw Enterprise Billing Data'!C38</f>
        <v/>
      </c>
      <c r="D38" s="14">
        <f>'Raw Enterprise Billing Data'!D38</f>
        <v/>
      </c>
      <c r="E38" s="13">
        <f>'Raw Enterprise Billing Data'!E38</f>
        <v/>
      </c>
      <c r="F38" s="14">
        <f>'Raw Enterprise Billing Data'!F38</f>
        <v/>
      </c>
      <c r="G38" s="15">
        <f>'Raw Enterprise Billing Data'!H38</f>
        <v/>
      </c>
      <c r="H38" s="13">
        <f>IF(COUNTIF($A$5:$A$499, A38)&gt;1, "⚠️ DUPLICATE", "UNIQUE")</f>
        <v/>
      </c>
      <c r="I38" s="14">
        <f>IF(OR(ISBLANK(D38), D38=""), "Unassigned", D38)</f>
        <v/>
      </c>
      <c r="J38" s="13">
        <f>IF(G38&lt;0, "CREDIT / ADJUSTMENT", "STANDARD USAGE")</f>
        <v/>
      </c>
    </row>
    <row r="39">
      <c r="A39" s="13">
        <f>'Raw Enterprise Billing Data'!A39</f>
        <v/>
      </c>
      <c r="B39" s="13">
        <f>'Raw Enterprise Billing Data'!B39</f>
        <v/>
      </c>
      <c r="C39" s="13">
        <f>'Raw Enterprise Billing Data'!C39</f>
        <v/>
      </c>
      <c r="D39" s="14">
        <f>'Raw Enterprise Billing Data'!D39</f>
        <v/>
      </c>
      <c r="E39" s="13">
        <f>'Raw Enterprise Billing Data'!E39</f>
        <v/>
      </c>
      <c r="F39" s="14">
        <f>'Raw Enterprise Billing Data'!F39</f>
        <v/>
      </c>
      <c r="G39" s="15">
        <f>'Raw Enterprise Billing Data'!H39</f>
        <v/>
      </c>
      <c r="H39" s="13">
        <f>IF(COUNTIF($A$5:$A$499, A39)&gt;1, "⚠️ DUPLICATE", "UNIQUE")</f>
        <v/>
      </c>
      <c r="I39" s="14">
        <f>IF(OR(ISBLANK(D39), D39=""), "Unassigned", D39)</f>
        <v/>
      </c>
      <c r="J39" s="13">
        <f>IF(G39&lt;0, "CREDIT / ADJUSTMENT", "STANDARD USAGE")</f>
        <v/>
      </c>
    </row>
    <row r="40">
      <c r="A40" s="13">
        <f>'Raw Enterprise Billing Data'!A40</f>
        <v/>
      </c>
      <c r="B40" s="13">
        <f>'Raw Enterprise Billing Data'!B40</f>
        <v/>
      </c>
      <c r="C40" s="13">
        <f>'Raw Enterprise Billing Data'!C40</f>
        <v/>
      </c>
      <c r="D40" s="14">
        <f>'Raw Enterprise Billing Data'!D40</f>
        <v/>
      </c>
      <c r="E40" s="13">
        <f>'Raw Enterprise Billing Data'!E40</f>
        <v/>
      </c>
      <c r="F40" s="14">
        <f>'Raw Enterprise Billing Data'!F40</f>
        <v/>
      </c>
      <c r="G40" s="15">
        <f>'Raw Enterprise Billing Data'!H40</f>
        <v/>
      </c>
      <c r="H40" s="13">
        <f>IF(COUNTIF($A$5:$A$499, A40)&gt;1, "⚠️ DUPLICATE", "UNIQUE")</f>
        <v/>
      </c>
      <c r="I40" s="14">
        <f>IF(OR(ISBLANK(D40), D40=""), "Unassigned", D40)</f>
        <v/>
      </c>
      <c r="J40" s="13">
        <f>IF(G40&lt;0, "CREDIT / ADJUSTMENT", "STANDARD USAGE")</f>
        <v/>
      </c>
    </row>
    <row r="41">
      <c r="A41" s="13">
        <f>'Raw Enterprise Billing Data'!A41</f>
        <v/>
      </c>
      <c r="B41" s="13">
        <f>'Raw Enterprise Billing Data'!B41</f>
        <v/>
      </c>
      <c r="C41" s="13">
        <f>'Raw Enterprise Billing Data'!C41</f>
        <v/>
      </c>
      <c r="D41" s="14">
        <f>'Raw Enterprise Billing Data'!D41</f>
        <v/>
      </c>
      <c r="E41" s="13">
        <f>'Raw Enterprise Billing Data'!E41</f>
        <v/>
      </c>
      <c r="F41" s="14">
        <f>'Raw Enterprise Billing Data'!F41</f>
        <v/>
      </c>
      <c r="G41" s="15">
        <f>'Raw Enterprise Billing Data'!H41</f>
        <v/>
      </c>
      <c r="H41" s="13">
        <f>IF(COUNTIF($A$5:$A$499, A41)&gt;1, "⚠️ DUPLICATE", "UNIQUE")</f>
        <v/>
      </c>
      <c r="I41" s="14">
        <f>IF(OR(ISBLANK(D41), D41=""), "Unassigned", D41)</f>
        <v/>
      </c>
      <c r="J41" s="13">
        <f>IF(G41&lt;0, "CREDIT / ADJUSTMENT", "STANDARD USAGE")</f>
        <v/>
      </c>
    </row>
    <row r="42">
      <c r="A42" s="13">
        <f>'Raw Enterprise Billing Data'!A42</f>
        <v/>
      </c>
      <c r="B42" s="13">
        <f>'Raw Enterprise Billing Data'!B42</f>
        <v/>
      </c>
      <c r="C42" s="13">
        <f>'Raw Enterprise Billing Data'!C42</f>
        <v/>
      </c>
      <c r="D42" s="14">
        <f>'Raw Enterprise Billing Data'!D42</f>
        <v/>
      </c>
      <c r="E42" s="13">
        <f>'Raw Enterprise Billing Data'!E42</f>
        <v/>
      </c>
      <c r="F42" s="14">
        <f>'Raw Enterprise Billing Data'!F42</f>
        <v/>
      </c>
      <c r="G42" s="15">
        <f>'Raw Enterprise Billing Data'!H42</f>
        <v/>
      </c>
      <c r="H42" s="13">
        <f>IF(COUNTIF($A$5:$A$499, A42)&gt;1, "⚠️ DUPLICATE", "UNIQUE")</f>
        <v/>
      </c>
      <c r="I42" s="14">
        <f>IF(OR(ISBLANK(D42), D42=""), "Unassigned", D42)</f>
        <v/>
      </c>
      <c r="J42" s="13">
        <f>IF(G42&lt;0, "CREDIT / ADJUSTMENT", "STANDARD USAGE")</f>
        <v/>
      </c>
    </row>
    <row r="43">
      <c r="A43" s="13">
        <f>'Raw Enterprise Billing Data'!A43</f>
        <v/>
      </c>
      <c r="B43" s="13">
        <f>'Raw Enterprise Billing Data'!B43</f>
        <v/>
      </c>
      <c r="C43" s="13">
        <f>'Raw Enterprise Billing Data'!C43</f>
        <v/>
      </c>
      <c r="D43" s="14">
        <f>'Raw Enterprise Billing Data'!D43</f>
        <v/>
      </c>
      <c r="E43" s="13">
        <f>'Raw Enterprise Billing Data'!E43</f>
        <v/>
      </c>
      <c r="F43" s="14">
        <f>'Raw Enterprise Billing Data'!F43</f>
        <v/>
      </c>
      <c r="G43" s="15">
        <f>'Raw Enterprise Billing Data'!H43</f>
        <v/>
      </c>
      <c r="H43" s="13">
        <f>IF(COUNTIF($A$5:$A$499, A43)&gt;1, "⚠️ DUPLICATE", "UNIQUE")</f>
        <v/>
      </c>
      <c r="I43" s="14">
        <f>IF(OR(ISBLANK(D43), D43=""), "Unassigned", D43)</f>
        <v/>
      </c>
      <c r="J43" s="13">
        <f>IF(G43&lt;0, "CREDIT / ADJUSTMENT", "STANDARD USAGE")</f>
        <v/>
      </c>
    </row>
    <row r="44">
      <c r="A44" s="13">
        <f>'Raw Enterprise Billing Data'!A44</f>
        <v/>
      </c>
      <c r="B44" s="13">
        <f>'Raw Enterprise Billing Data'!B44</f>
        <v/>
      </c>
      <c r="C44" s="13">
        <f>'Raw Enterprise Billing Data'!C44</f>
        <v/>
      </c>
      <c r="D44" s="14">
        <f>'Raw Enterprise Billing Data'!D44</f>
        <v/>
      </c>
      <c r="E44" s="13">
        <f>'Raw Enterprise Billing Data'!E44</f>
        <v/>
      </c>
      <c r="F44" s="14">
        <f>'Raw Enterprise Billing Data'!F44</f>
        <v/>
      </c>
      <c r="G44" s="15">
        <f>'Raw Enterprise Billing Data'!H44</f>
        <v/>
      </c>
      <c r="H44" s="13">
        <f>IF(COUNTIF($A$5:$A$499, A44)&gt;1, "⚠️ DUPLICATE", "UNIQUE")</f>
        <v/>
      </c>
      <c r="I44" s="14">
        <f>IF(OR(ISBLANK(D44), D44=""), "Unassigned", D44)</f>
        <v/>
      </c>
      <c r="J44" s="13">
        <f>IF(G44&lt;0, "CREDIT / ADJUSTMENT", "STANDARD USAGE")</f>
        <v/>
      </c>
    </row>
    <row r="45">
      <c r="A45" s="13">
        <f>'Raw Enterprise Billing Data'!A45</f>
        <v/>
      </c>
      <c r="B45" s="13">
        <f>'Raw Enterprise Billing Data'!B45</f>
        <v/>
      </c>
      <c r="C45" s="13">
        <f>'Raw Enterprise Billing Data'!C45</f>
        <v/>
      </c>
      <c r="D45" s="14">
        <f>'Raw Enterprise Billing Data'!D45</f>
        <v/>
      </c>
      <c r="E45" s="13">
        <f>'Raw Enterprise Billing Data'!E45</f>
        <v/>
      </c>
      <c r="F45" s="14">
        <f>'Raw Enterprise Billing Data'!F45</f>
        <v/>
      </c>
      <c r="G45" s="15">
        <f>'Raw Enterprise Billing Data'!H45</f>
        <v/>
      </c>
      <c r="H45" s="13">
        <f>IF(COUNTIF($A$5:$A$499, A45)&gt;1, "⚠️ DUPLICATE", "UNIQUE")</f>
        <v/>
      </c>
      <c r="I45" s="14">
        <f>IF(OR(ISBLANK(D45), D45=""), "Unassigned", D45)</f>
        <v/>
      </c>
      <c r="J45" s="13">
        <f>IF(G45&lt;0, "CREDIT / ADJUSTMENT", "STANDARD USAGE")</f>
        <v/>
      </c>
    </row>
    <row r="46">
      <c r="A46" s="13">
        <f>'Raw Enterprise Billing Data'!A46</f>
        <v/>
      </c>
      <c r="B46" s="13">
        <f>'Raw Enterprise Billing Data'!B46</f>
        <v/>
      </c>
      <c r="C46" s="13">
        <f>'Raw Enterprise Billing Data'!C46</f>
        <v/>
      </c>
      <c r="D46" s="14">
        <f>'Raw Enterprise Billing Data'!D46</f>
        <v/>
      </c>
      <c r="E46" s="13">
        <f>'Raw Enterprise Billing Data'!E46</f>
        <v/>
      </c>
      <c r="F46" s="14">
        <f>'Raw Enterprise Billing Data'!F46</f>
        <v/>
      </c>
      <c r="G46" s="15">
        <f>'Raw Enterprise Billing Data'!H46</f>
        <v/>
      </c>
      <c r="H46" s="13">
        <f>IF(COUNTIF($A$5:$A$499, A46)&gt;1, "⚠️ DUPLICATE", "UNIQUE")</f>
        <v/>
      </c>
      <c r="I46" s="14">
        <f>IF(OR(ISBLANK(D46), D46=""), "Unassigned", D46)</f>
        <v/>
      </c>
      <c r="J46" s="13">
        <f>IF(G46&lt;0, "CREDIT / ADJUSTMENT", "STANDARD USAGE")</f>
        <v/>
      </c>
    </row>
    <row r="47">
      <c r="A47" s="13">
        <f>'Raw Enterprise Billing Data'!A47</f>
        <v/>
      </c>
      <c r="B47" s="13">
        <f>'Raw Enterprise Billing Data'!B47</f>
        <v/>
      </c>
      <c r="C47" s="13">
        <f>'Raw Enterprise Billing Data'!C47</f>
        <v/>
      </c>
      <c r="D47" s="14">
        <f>'Raw Enterprise Billing Data'!D47</f>
        <v/>
      </c>
      <c r="E47" s="13">
        <f>'Raw Enterprise Billing Data'!E47</f>
        <v/>
      </c>
      <c r="F47" s="14">
        <f>'Raw Enterprise Billing Data'!F47</f>
        <v/>
      </c>
      <c r="G47" s="15">
        <f>'Raw Enterprise Billing Data'!H47</f>
        <v/>
      </c>
      <c r="H47" s="13">
        <f>IF(COUNTIF($A$5:$A$499, A47)&gt;1, "⚠️ DUPLICATE", "UNIQUE")</f>
        <v/>
      </c>
      <c r="I47" s="14">
        <f>IF(OR(ISBLANK(D47), D47=""), "Unassigned", D47)</f>
        <v/>
      </c>
      <c r="J47" s="13">
        <f>IF(G47&lt;0, "CREDIT / ADJUSTMENT", "STANDARD USAGE")</f>
        <v/>
      </c>
    </row>
    <row r="48">
      <c r="A48" s="13">
        <f>'Raw Enterprise Billing Data'!A48</f>
        <v/>
      </c>
      <c r="B48" s="13">
        <f>'Raw Enterprise Billing Data'!B48</f>
        <v/>
      </c>
      <c r="C48" s="13">
        <f>'Raw Enterprise Billing Data'!C48</f>
        <v/>
      </c>
      <c r="D48" s="14">
        <f>'Raw Enterprise Billing Data'!D48</f>
        <v/>
      </c>
      <c r="E48" s="13">
        <f>'Raw Enterprise Billing Data'!E48</f>
        <v/>
      </c>
      <c r="F48" s="14">
        <f>'Raw Enterprise Billing Data'!F48</f>
        <v/>
      </c>
      <c r="G48" s="15">
        <f>'Raw Enterprise Billing Data'!H48</f>
        <v/>
      </c>
      <c r="H48" s="13">
        <f>IF(COUNTIF($A$5:$A$499, A48)&gt;1, "⚠️ DUPLICATE", "UNIQUE")</f>
        <v/>
      </c>
      <c r="I48" s="14">
        <f>IF(OR(ISBLANK(D48), D48=""), "Unassigned", D48)</f>
        <v/>
      </c>
      <c r="J48" s="13">
        <f>IF(G48&lt;0, "CREDIT / ADJUSTMENT", "STANDARD USAGE")</f>
        <v/>
      </c>
    </row>
    <row r="49">
      <c r="A49" s="13">
        <f>'Raw Enterprise Billing Data'!A49</f>
        <v/>
      </c>
      <c r="B49" s="13">
        <f>'Raw Enterprise Billing Data'!B49</f>
        <v/>
      </c>
      <c r="C49" s="13">
        <f>'Raw Enterprise Billing Data'!C49</f>
        <v/>
      </c>
      <c r="D49" s="14">
        <f>'Raw Enterprise Billing Data'!D49</f>
        <v/>
      </c>
      <c r="E49" s="13">
        <f>'Raw Enterprise Billing Data'!E49</f>
        <v/>
      </c>
      <c r="F49" s="14">
        <f>'Raw Enterprise Billing Data'!F49</f>
        <v/>
      </c>
      <c r="G49" s="15">
        <f>'Raw Enterprise Billing Data'!H49</f>
        <v/>
      </c>
      <c r="H49" s="13">
        <f>IF(COUNTIF($A$5:$A$499, A49)&gt;1, "⚠️ DUPLICATE", "UNIQUE")</f>
        <v/>
      </c>
      <c r="I49" s="14">
        <f>IF(OR(ISBLANK(D49), D49=""), "Unassigned", D49)</f>
        <v/>
      </c>
      <c r="J49" s="13">
        <f>IF(G49&lt;0, "CREDIT / ADJUSTMENT", "STANDARD USAGE")</f>
        <v/>
      </c>
    </row>
    <row r="50">
      <c r="A50" s="13">
        <f>'Raw Enterprise Billing Data'!A50</f>
        <v/>
      </c>
      <c r="B50" s="13">
        <f>'Raw Enterprise Billing Data'!B50</f>
        <v/>
      </c>
      <c r="C50" s="13">
        <f>'Raw Enterprise Billing Data'!C50</f>
        <v/>
      </c>
      <c r="D50" s="14">
        <f>'Raw Enterprise Billing Data'!D50</f>
        <v/>
      </c>
      <c r="E50" s="13">
        <f>'Raw Enterprise Billing Data'!E50</f>
        <v/>
      </c>
      <c r="F50" s="14">
        <f>'Raw Enterprise Billing Data'!F50</f>
        <v/>
      </c>
      <c r="G50" s="15">
        <f>'Raw Enterprise Billing Data'!H50</f>
        <v/>
      </c>
      <c r="H50" s="13">
        <f>IF(COUNTIF($A$5:$A$499, A50)&gt;1, "⚠️ DUPLICATE", "UNIQUE")</f>
        <v/>
      </c>
      <c r="I50" s="14">
        <f>IF(OR(ISBLANK(D50), D50=""), "Unassigned", D50)</f>
        <v/>
      </c>
      <c r="J50" s="13">
        <f>IF(G50&lt;0, "CREDIT / ADJUSTMENT", "STANDARD USAGE")</f>
        <v/>
      </c>
    </row>
    <row r="51">
      <c r="A51" s="13">
        <f>'Raw Enterprise Billing Data'!A51</f>
        <v/>
      </c>
      <c r="B51" s="13">
        <f>'Raw Enterprise Billing Data'!B51</f>
        <v/>
      </c>
      <c r="C51" s="13">
        <f>'Raw Enterprise Billing Data'!C51</f>
        <v/>
      </c>
      <c r="D51" s="14">
        <f>'Raw Enterprise Billing Data'!D51</f>
        <v/>
      </c>
      <c r="E51" s="13">
        <f>'Raw Enterprise Billing Data'!E51</f>
        <v/>
      </c>
      <c r="F51" s="14">
        <f>'Raw Enterprise Billing Data'!F51</f>
        <v/>
      </c>
      <c r="G51" s="15">
        <f>'Raw Enterprise Billing Data'!H51</f>
        <v/>
      </c>
      <c r="H51" s="13">
        <f>IF(COUNTIF($A$5:$A$499, A51)&gt;1, "⚠️ DUPLICATE", "UNIQUE")</f>
        <v/>
      </c>
      <c r="I51" s="14">
        <f>IF(OR(ISBLANK(D51), D51=""), "Unassigned", D51)</f>
        <v/>
      </c>
      <c r="J51" s="13">
        <f>IF(G51&lt;0, "CREDIT / ADJUSTMENT", "STANDARD USAGE")</f>
        <v/>
      </c>
    </row>
    <row r="52">
      <c r="A52" s="13">
        <f>'Raw Enterprise Billing Data'!A52</f>
        <v/>
      </c>
      <c r="B52" s="13">
        <f>'Raw Enterprise Billing Data'!B52</f>
        <v/>
      </c>
      <c r="C52" s="13">
        <f>'Raw Enterprise Billing Data'!C52</f>
        <v/>
      </c>
      <c r="D52" s="14">
        <f>'Raw Enterprise Billing Data'!D52</f>
        <v/>
      </c>
      <c r="E52" s="13">
        <f>'Raw Enterprise Billing Data'!E52</f>
        <v/>
      </c>
      <c r="F52" s="14">
        <f>'Raw Enterprise Billing Data'!F52</f>
        <v/>
      </c>
      <c r="G52" s="15">
        <f>'Raw Enterprise Billing Data'!H52</f>
        <v/>
      </c>
      <c r="H52" s="13">
        <f>IF(COUNTIF($A$5:$A$499, A52)&gt;1, "⚠️ DUPLICATE", "UNIQUE")</f>
        <v/>
      </c>
      <c r="I52" s="14">
        <f>IF(OR(ISBLANK(D52), D52=""), "Unassigned", D52)</f>
        <v/>
      </c>
      <c r="J52" s="13">
        <f>IF(G52&lt;0, "CREDIT / ADJUSTMENT", "STANDARD USAGE")</f>
        <v/>
      </c>
    </row>
    <row r="53">
      <c r="A53" s="13">
        <f>'Raw Enterprise Billing Data'!A53</f>
        <v/>
      </c>
      <c r="B53" s="13">
        <f>'Raw Enterprise Billing Data'!B53</f>
        <v/>
      </c>
      <c r="C53" s="13">
        <f>'Raw Enterprise Billing Data'!C53</f>
        <v/>
      </c>
      <c r="D53" s="14">
        <f>'Raw Enterprise Billing Data'!D53</f>
        <v/>
      </c>
      <c r="E53" s="13">
        <f>'Raw Enterprise Billing Data'!E53</f>
        <v/>
      </c>
      <c r="F53" s="14">
        <f>'Raw Enterprise Billing Data'!F53</f>
        <v/>
      </c>
      <c r="G53" s="15">
        <f>'Raw Enterprise Billing Data'!H53</f>
        <v/>
      </c>
      <c r="H53" s="13">
        <f>IF(COUNTIF($A$5:$A$499, A53)&gt;1, "⚠️ DUPLICATE", "UNIQUE")</f>
        <v/>
      </c>
      <c r="I53" s="14">
        <f>IF(OR(ISBLANK(D53), D53=""), "Unassigned", D53)</f>
        <v/>
      </c>
      <c r="J53" s="13">
        <f>IF(G53&lt;0, "CREDIT / ADJUSTMENT", "STANDARD USAGE")</f>
        <v/>
      </c>
    </row>
    <row r="54">
      <c r="A54" s="13">
        <f>'Raw Enterprise Billing Data'!A54</f>
        <v/>
      </c>
      <c r="B54" s="13">
        <f>'Raw Enterprise Billing Data'!B54</f>
        <v/>
      </c>
      <c r="C54" s="13">
        <f>'Raw Enterprise Billing Data'!C54</f>
        <v/>
      </c>
      <c r="D54" s="14">
        <f>'Raw Enterprise Billing Data'!D54</f>
        <v/>
      </c>
      <c r="E54" s="13">
        <f>'Raw Enterprise Billing Data'!E54</f>
        <v/>
      </c>
      <c r="F54" s="14">
        <f>'Raw Enterprise Billing Data'!F54</f>
        <v/>
      </c>
      <c r="G54" s="15">
        <f>'Raw Enterprise Billing Data'!H54</f>
        <v/>
      </c>
      <c r="H54" s="13">
        <f>IF(COUNTIF($A$5:$A$499, A54)&gt;1, "⚠️ DUPLICATE", "UNIQUE")</f>
        <v/>
      </c>
      <c r="I54" s="14">
        <f>IF(OR(ISBLANK(D54), D54=""), "Unassigned", D54)</f>
        <v/>
      </c>
      <c r="J54" s="13">
        <f>IF(G54&lt;0, "CREDIT / ADJUSTMENT", "STANDARD USAGE")</f>
        <v/>
      </c>
    </row>
    <row r="55">
      <c r="A55" s="13">
        <f>'Raw Enterprise Billing Data'!A55</f>
        <v/>
      </c>
      <c r="B55" s="13">
        <f>'Raw Enterprise Billing Data'!B55</f>
        <v/>
      </c>
      <c r="C55" s="13">
        <f>'Raw Enterprise Billing Data'!C55</f>
        <v/>
      </c>
      <c r="D55" s="14">
        <f>'Raw Enterprise Billing Data'!D55</f>
        <v/>
      </c>
      <c r="E55" s="13">
        <f>'Raw Enterprise Billing Data'!E55</f>
        <v/>
      </c>
      <c r="F55" s="14">
        <f>'Raw Enterprise Billing Data'!F55</f>
        <v/>
      </c>
      <c r="G55" s="15">
        <f>'Raw Enterprise Billing Data'!H55</f>
        <v/>
      </c>
      <c r="H55" s="13">
        <f>IF(COUNTIF($A$5:$A$499, A55)&gt;1, "⚠️ DUPLICATE", "UNIQUE")</f>
        <v/>
      </c>
      <c r="I55" s="14">
        <f>IF(OR(ISBLANK(D55), D55=""), "Unassigned", D55)</f>
        <v/>
      </c>
      <c r="J55" s="13">
        <f>IF(G55&lt;0, "CREDIT / ADJUSTMENT", "STANDARD USAGE")</f>
        <v/>
      </c>
    </row>
    <row r="56">
      <c r="A56" s="13">
        <f>'Raw Enterprise Billing Data'!A56</f>
        <v/>
      </c>
      <c r="B56" s="13">
        <f>'Raw Enterprise Billing Data'!B56</f>
        <v/>
      </c>
      <c r="C56" s="13">
        <f>'Raw Enterprise Billing Data'!C56</f>
        <v/>
      </c>
      <c r="D56" s="14">
        <f>'Raw Enterprise Billing Data'!D56</f>
        <v/>
      </c>
      <c r="E56" s="13">
        <f>'Raw Enterprise Billing Data'!E56</f>
        <v/>
      </c>
      <c r="F56" s="14">
        <f>'Raw Enterprise Billing Data'!F56</f>
        <v/>
      </c>
      <c r="G56" s="15">
        <f>'Raw Enterprise Billing Data'!H56</f>
        <v/>
      </c>
      <c r="H56" s="13">
        <f>IF(COUNTIF($A$5:$A$499, A56)&gt;1, "⚠️ DUPLICATE", "UNIQUE")</f>
        <v/>
      </c>
      <c r="I56" s="14">
        <f>IF(OR(ISBLANK(D56), D56=""), "Unassigned", D56)</f>
        <v/>
      </c>
      <c r="J56" s="13">
        <f>IF(G56&lt;0, "CREDIT / ADJUSTMENT", "STANDARD USAGE")</f>
        <v/>
      </c>
    </row>
    <row r="57">
      <c r="A57" s="13">
        <f>'Raw Enterprise Billing Data'!A57</f>
        <v/>
      </c>
      <c r="B57" s="13">
        <f>'Raw Enterprise Billing Data'!B57</f>
        <v/>
      </c>
      <c r="C57" s="13">
        <f>'Raw Enterprise Billing Data'!C57</f>
        <v/>
      </c>
      <c r="D57" s="14">
        <f>'Raw Enterprise Billing Data'!D57</f>
        <v/>
      </c>
      <c r="E57" s="13">
        <f>'Raw Enterprise Billing Data'!E57</f>
        <v/>
      </c>
      <c r="F57" s="14">
        <f>'Raw Enterprise Billing Data'!F57</f>
        <v/>
      </c>
      <c r="G57" s="15">
        <f>'Raw Enterprise Billing Data'!H57</f>
        <v/>
      </c>
      <c r="H57" s="13">
        <f>IF(COUNTIF($A$5:$A$499, A57)&gt;1, "⚠️ DUPLICATE", "UNIQUE")</f>
        <v/>
      </c>
      <c r="I57" s="14">
        <f>IF(OR(ISBLANK(D57), D57=""), "Unassigned", D57)</f>
        <v/>
      </c>
      <c r="J57" s="13">
        <f>IF(G57&lt;0, "CREDIT / ADJUSTMENT", "STANDARD USAGE")</f>
        <v/>
      </c>
    </row>
    <row r="58">
      <c r="A58" s="13">
        <f>'Raw Enterprise Billing Data'!A58</f>
        <v/>
      </c>
      <c r="B58" s="13">
        <f>'Raw Enterprise Billing Data'!B58</f>
        <v/>
      </c>
      <c r="C58" s="13">
        <f>'Raw Enterprise Billing Data'!C58</f>
        <v/>
      </c>
      <c r="D58" s="14">
        <f>'Raw Enterprise Billing Data'!D58</f>
        <v/>
      </c>
      <c r="E58" s="13">
        <f>'Raw Enterprise Billing Data'!E58</f>
        <v/>
      </c>
      <c r="F58" s="14">
        <f>'Raw Enterprise Billing Data'!F58</f>
        <v/>
      </c>
      <c r="G58" s="15">
        <f>'Raw Enterprise Billing Data'!H58</f>
        <v/>
      </c>
      <c r="H58" s="13">
        <f>IF(COUNTIF($A$5:$A$499, A58)&gt;1, "⚠️ DUPLICATE", "UNIQUE")</f>
        <v/>
      </c>
      <c r="I58" s="14">
        <f>IF(OR(ISBLANK(D58), D58=""), "Unassigned", D58)</f>
        <v/>
      </c>
      <c r="J58" s="13">
        <f>IF(G58&lt;0, "CREDIT / ADJUSTMENT", "STANDARD USAGE")</f>
        <v/>
      </c>
    </row>
    <row r="59">
      <c r="A59" s="13">
        <f>'Raw Enterprise Billing Data'!A59</f>
        <v/>
      </c>
      <c r="B59" s="13">
        <f>'Raw Enterprise Billing Data'!B59</f>
        <v/>
      </c>
      <c r="C59" s="13">
        <f>'Raw Enterprise Billing Data'!C59</f>
        <v/>
      </c>
      <c r="D59" s="14">
        <f>'Raw Enterprise Billing Data'!D59</f>
        <v/>
      </c>
      <c r="E59" s="13">
        <f>'Raw Enterprise Billing Data'!E59</f>
        <v/>
      </c>
      <c r="F59" s="14">
        <f>'Raw Enterprise Billing Data'!F59</f>
        <v/>
      </c>
      <c r="G59" s="15">
        <f>'Raw Enterprise Billing Data'!H59</f>
        <v/>
      </c>
      <c r="H59" s="13">
        <f>IF(COUNTIF($A$5:$A$499, A59)&gt;1, "⚠️ DUPLICATE", "UNIQUE")</f>
        <v/>
      </c>
      <c r="I59" s="14">
        <f>IF(OR(ISBLANK(D59), D59=""), "Unassigned", D59)</f>
        <v/>
      </c>
      <c r="J59" s="13">
        <f>IF(G59&lt;0, "CREDIT / ADJUSTMENT", "STANDARD USAGE")</f>
        <v/>
      </c>
    </row>
    <row r="60">
      <c r="A60" s="13">
        <f>'Raw Enterprise Billing Data'!A60</f>
        <v/>
      </c>
      <c r="B60" s="13">
        <f>'Raw Enterprise Billing Data'!B60</f>
        <v/>
      </c>
      <c r="C60" s="13">
        <f>'Raw Enterprise Billing Data'!C60</f>
        <v/>
      </c>
      <c r="D60" s="14">
        <f>'Raw Enterprise Billing Data'!D60</f>
        <v/>
      </c>
      <c r="E60" s="13">
        <f>'Raw Enterprise Billing Data'!E60</f>
        <v/>
      </c>
      <c r="F60" s="14">
        <f>'Raw Enterprise Billing Data'!F60</f>
        <v/>
      </c>
      <c r="G60" s="15">
        <f>'Raw Enterprise Billing Data'!H60</f>
        <v/>
      </c>
      <c r="H60" s="13">
        <f>IF(COUNTIF($A$5:$A$499, A60)&gt;1, "⚠️ DUPLICATE", "UNIQUE")</f>
        <v/>
      </c>
      <c r="I60" s="14">
        <f>IF(OR(ISBLANK(D60), D60=""), "Unassigned", D60)</f>
        <v/>
      </c>
      <c r="J60" s="13">
        <f>IF(G60&lt;0, "CREDIT / ADJUSTMENT", "STANDARD USAGE")</f>
        <v/>
      </c>
    </row>
    <row r="61">
      <c r="A61" s="13">
        <f>'Raw Enterprise Billing Data'!A61</f>
        <v/>
      </c>
      <c r="B61" s="13">
        <f>'Raw Enterprise Billing Data'!B61</f>
        <v/>
      </c>
      <c r="C61" s="13">
        <f>'Raw Enterprise Billing Data'!C61</f>
        <v/>
      </c>
      <c r="D61" s="14">
        <f>'Raw Enterprise Billing Data'!D61</f>
        <v/>
      </c>
      <c r="E61" s="13">
        <f>'Raw Enterprise Billing Data'!E61</f>
        <v/>
      </c>
      <c r="F61" s="14">
        <f>'Raw Enterprise Billing Data'!F61</f>
        <v/>
      </c>
      <c r="G61" s="15">
        <f>'Raw Enterprise Billing Data'!H61</f>
        <v/>
      </c>
      <c r="H61" s="13">
        <f>IF(COUNTIF($A$5:$A$499, A61)&gt;1, "⚠️ DUPLICATE", "UNIQUE")</f>
        <v/>
      </c>
      <c r="I61" s="14">
        <f>IF(OR(ISBLANK(D61), D61=""), "Unassigned", D61)</f>
        <v/>
      </c>
      <c r="J61" s="13">
        <f>IF(G61&lt;0, "CREDIT / ADJUSTMENT", "STANDARD USAGE")</f>
        <v/>
      </c>
    </row>
    <row r="62">
      <c r="A62" s="13">
        <f>'Raw Enterprise Billing Data'!A62</f>
        <v/>
      </c>
      <c r="B62" s="13">
        <f>'Raw Enterprise Billing Data'!B62</f>
        <v/>
      </c>
      <c r="C62" s="13">
        <f>'Raw Enterprise Billing Data'!C62</f>
        <v/>
      </c>
      <c r="D62" s="14">
        <f>'Raw Enterprise Billing Data'!D62</f>
        <v/>
      </c>
      <c r="E62" s="13">
        <f>'Raw Enterprise Billing Data'!E62</f>
        <v/>
      </c>
      <c r="F62" s="14">
        <f>'Raw Enterprise Billing Data'!F62</f>
        <v/>
      </c>
      <c r="G62" s="15">
        <f>'Raw Enterprise Billing Data'!H62</f>
        <v/>
      </c>
      <c r="H62" s="13">
        <f>IF(COUNTIF($A$5:$A$499, A62)&gt;1, "⚠️ DUPLICATE", "UNIQUE")</f>
        <v/>
      </c>
      <c r="I62" s="14">
        <f>IF(OR(ISBLANK(D62), D62=""), "Unassigned", D62)</f>
        <v/>
      </c>
      <c r="J62" s="13">
        <f>IF(G62&lt;0, "CREDIT / ADJUSTMENT", "STANDARD USAGE")</f>
        <v/>
      </c>
    </row>
    <row r="63">
      <c r="A63" s="13">
        <f>'Raw Enterprise Billing Data'!A63</f>
        <v/>
      </c>
      <c r="B63" s="13">
        <f>'Raw Enterprise Billing Data'!B63</f>
        <v/>
      </c>
      <c r="C63" s="13">
        <f>'Raw Enterprise Billing Data'!C63</f>
        <v/>
      </c>
      <c r="D63" s="14">
        <f>'Raw Enterprise Billing Data'!D63</f>
        <v/>
      </c>
      <c r="E63" s="13">
        <f>'Raw Enterprise Billing Data'!E63</f>
        <v/>
      </c>
      <c r="F63" s="14">
        <f>'Raw Enterprise Billing Data'!F63</f>
        <v/>
      </c>
      <c r="G63" s="15">
        <f>'Raw Enterprise Billing Data'!H63</f>
        <v/>
      </c>
      <c r="H63" s="13">
        <f>IF(COUNTIF($A$5:$A$499, A63)&gt;1, "⚠️ DUPLICATE", "UNIQUE")</f>
        <v/>
      </c>
      <c r="I63" s="14">
        <f>IF(OR(ISBLANK(D63), D63=""), "Unassigned", D63)</f>
        <v/>
      </c>
      <c r="J63" s="13">
        <f>IF(G63&lt;0, "CREDIT / ADJUSTMENT", "STANDARD USAGE")</f>
        <v/>
      </c>
    </row>
    <row r="64">
      <c r="A64" s="13">
        <f>'Raw Enterprise Billing Data'!A64</f>
        <v/>
      </c>
      <c r="B64" s="13">
        <f>'Raw Enterprise Billing Data'!B64</f>
        <v/>
      </c>
      <c r="C64" s="13">
        <f>'Raw Enterprise Billing Data'!C64</f>
        <v/>
      </c>
      <c r="D64" s="14">
        <f>'Raw Enterprise Billing Data'!D64</f>
        <v/>
      </c>
      <c r="E64" s="13">
        <f>'Raw Enterprise Billing Data'!E64</f>
        <v/>
      </c>
      <c r="F64" s="14">
        <f>'Raw Enterprise Billing Data'!F64</f>
        <v/>
      </c>
      <c r="G64" s="15">
        <f>'Raw Enterprise Billing Data'!H64</f>
        <v/>
      </c>
      <c r="H64" s="13">
        <f>IF(COUNTIF($A$5:$A$499, A64)&gt;1, "⚠️ DUPLICATE", "UNIQUE")</f>
        <v/>
      </c>
      <c r="I64" s="14">
        <f>IF(OR(ISBLANK(D64), D64=""), "Unassigned", D64)</f>
        <v/>
      </c>
      <c r="J64" s="13">
        <f>IF(G64&lt;0, "CREDIT / ADJUSTMENT", "STANDARD USAGE")</f>
        <v/>
      </c>
    </row>
    <row r="65">
      <c r="A65" s="13">
        <f>'Raw Enterprise Billing Data'!A65</f>
        <v/>
      </c>
      <c r="B65" s="13">
        <f>'Raw Enterprise Billing Data'!B65</f>
        <v/>
      </c>
      <c r="C65" s="13">
        <f>'Raw Enterprise Billing Data'!C65</f>
        <v/>
      </c>
      <c r="D65" s="14">
        <f>'Raw Enterprise Billing Data'!D65</f>
        <v/>
      </c>
      <c r="E65" s="13">
        <f>'Raw Enterprise Billing Data'!E65</f>
        <v/>
      </c>
      <c r="F65" s="14">
        <f>'Raw Enterprise Billing Data'!F65</f>
        <v/>
      </c>
      <c r="G65" s="15">
        <f>'Raw Enterprise Billing Data'!H65</f>
        <v/>
      </c>
      <c r="H65" s="13">
        <f>IF(COUNTIF($A$5:$A$499, A65)&gt;1, "⚠️ DUPLICATE", "UNIQUE")</f>
        <v/>
      </c>
      <c r="I65" s="14">
        <f>IF(OR(ISBLANK(D65), D65=""), "Unassigned", D65)</f>
        <v/>
      </c>
      <c r="J65" s="13">
        <f>IF(G65&lt;0, "CREDIT / ADJUSTMENT", "STANDARD USAGE")</f>
        <v/>
      </c>
    </row>
    <row r="66">
      <c r="A66" s="13">
        <f>'Raw Enterprise Billing Data'!A66</f>
        <v/>
      </c>
      <c r="B66" s="13">
        <f>'Raw Enterprise Billing Data'!B66</f>
        <v/>
      </c>
      <c r="C66" s="13">
        <f>'Raw Enterprise Billing Data'!C66</f>
        <v/>
      </c>
      <c r="D66" s="14">
        <f>'Raw Enterprise Billing Data'!D66</f>
        <v/>
      </c>
      <c r="E66" s="13">
        <f>'Raw Enterprise Billing Data'!E66</f>
        <v/>
      </c>
      <c r="F66" s="14">
        <f>'Raw Enterprise Billing Data'!F66</f>
        <v/>
      </c>
      <c r="G66" s="15">
        <f>'Raw Enterprise Billing Data'!H66</f>
        <v/>
      </c>
      <c r="H66" s="13">
        <f>IF(COUNTIF($A$5:$A$499, A66)&gt;1, "⚠️ DUPLICATE", "UNIQUE")</f>
        <v/>
      </c>
      <c r="I66" s="14">
        <f>IF(OR(ISBLANK(D66), D66=""), "Unassigned", D66)</f>
        <v/>
      </c>
      <c r="J66" s="13">
        <f>IF(G66&lt;0, "CREDIT / ADJUSTMENT", "STANDARD USAGE")</f>
        <v/>
      </c>
    </row>
    <row r="67">
      <c r="A67" s="13">
        <f>'Raw Enterprise Billing Data'!A67</f>
        <v/>
      </c>
      <c r="B67" s="13">
        <f>'Raw Enterprise Billing Data'!B67</f>
        <v/>
      </c>
      <c r="C67" s="13">
        <f>'Raw Enterprise Billing Data'!C67</f>
        <v/>
      </c>
      <c r="D67" s="14">
        <f>'Raw Enterprise Billing Data'!D67</f>
        <v/>
      </c>
      <c r="E67" s="13">
        <f>'Raw Enterprise Billing Data'!E67</f>
        <v/>
      </c>
      <c r="F67" s="14">
        <f>'Raw Enterprise Billing Data'!F67</f>
        <v/>
      </c>
      <c r="G67" s="15">
        <f>'Raw Enterprise Billing Data'!H67</f>
        <v/>
      </c>
      <c r="H67" s="13">
        <f>IF(COUNTIF($A$5:$A$499, A67)&gt;1, "⚠️ DUPLICATE", "UNIQUE")</f>
        <v/>
      </c>
      <c r="I67" s="14">
        <f>IF(OR(ISBLANK(D67), D67=""), "Unassigned", D67)</f>
        <v/>
      </c>
      <c r="J67" s="13">
        <f>IF(G67&lt;0, "CREDIT / ADJUSTMENT", "STANDARD USAGE")</f>
        <v/>
      </c>
    </row>
    <row r="68">
      <c r="A68" s="13">
        <f>'Raw Enterprise Billing Data'!A68</f>
        <v/>
      </c>
      <c r="B68" s="13">
        <f>'Raw Enterprise Billing Data'!B68</f>
        <v/>
      </c>
      <c r="C68" s="13">
        <f>'Raw Enterprise Billing Data'!C68</f>
        <v/>
      </c>
      <c r="D68" s="14">
        <f>'Raw Enterprise Billing Data'!D68</f>
        <v/>
      </c>
      <c r="E68" s="13">
        <f>'Raw Enterprise Billing Data'!E68</f>
        <v/>
      </c>
      <c r="F68" s="14">
        <f>'Raw Enterprise Billing Data'!F68</f>
        <v/>
      </c>
      <c r="G68" s="15">
        <f>'Raw Enterprise Billing Data'!H68</f>
        <v/>
      </c>
      <c r="H68" s="13">
        <f>IF(COUNTIF($A$5:$A$499, A68)&gt;1, "⚠️ DUPLICATE", "UNIQUE")</f>
        <v/>
      </c>
      <c r="I68" s="14">
        <f>IF(OR(ISBLANK(D68), D68=""), "Unassigned", D68)</f>
        <v/>
      </c>
      <c r="J68" s="13">
        <f>IF(G68&lt;0, "CREDIT / ADJUSTMENT", "STANDARD USAGE")</f>
        <v/>
      </c>
    </row>
    <row r="69">
      <c r="A69" s="13">
        <f>'Raw Enterprise Billing Data'!A69</f>
        <v/>
      </c>
      <c r="B69" s="13">
        <f>'Raw Enterprise Billing Data'!B69</f>
        <v/>
      </c>
      <c r="C69" s="13">
        <f>'Raw Enterprise Billing Data'!C69</f>
        <v/>
      </c>
      <c r="D69" s="14">
        <f>'Raw Enterprise Billing Data'!D69</f>
        <v/>
      </c>
      <c r="E69" s="13">
        <f>'Raw Enterprise Billing Data'!E69</f>
        <v/>
      </c>
      <c r="F69" s="14">
        <f>'Raw Enterprise Billing Data'!F69</f>
        <v/>
      </c>
      <c r="G69" s="15">
        <f>'Raw Enterprise Billing Data'!H69</f>
        <v/>
      </c>
      <c r="H69" s="13">
        <f>IF(COUNTIF($A$5:$A$499, A69)&gt;1, "⚠️ DUPLICATE", "UNIQUE")</f>
        <v/>
      </c>
      <c r="I69" s="14">
        <f>IF(OR(ISBLANK(D69), D69=""), "Unassigned", D69)</f>
        <v/>
      </c>
      <c r="J69" s="13">
        <f>IF(G69&lt;0, "CREDIT / ADJUSTMENT", "STANDARD USAGE")</f>
        <v/>
      </c>
    </row>
    <row r="70">
      <c r="A70" s="13">
        <f>'Raw Enterprise Billing Data'!A70</f>
        <v/>
      </c>
      <c r="B70" s="13">
        <f>'Raw Enterprise Billing Data'!B70</f>
        <v/>
      </c>
      <c r="C70" s="13">
        <f>'Raw Enterprise Billing Data'!C70</f>
        <v/>
      </c>
      <c r="D70" s="14">
        <f>'Raw Enterprise Billing Data'!D70</f>
        <v/>
      </c>
      <c r="E70" s="13">
        <f>'Raw Enterprise Billing Data'!E70</f>
        <v/>
      </c>
      <c r="F70" s="14">
        <f>'Raw Enterprise Billing Data'!F70</f>
        <v/>
      </c>
      <c r="G70" s="15">
        <f>'Raw Enterprise Billing Data'!H70</f>
        <v/>
      </c>
      <c r="H70" s="13">
        <f>IF(COUNTIF($A$5:$A$499, A70)&gt;1, "⚠️ DUPLICATE", "UNIQUE")</f>
        <v/>
      </c>
      <c r="I70" s="14">
        <f>IF(OR(ISBLANK(D70), D70=""), "Unassigned", D70)</f>
        <v/>
      </c>
      <c r="J70" s="13">
        <f>IF(G70&lt;0, "CREDIT / ADJUSTMENT", "STANDARD USAGE")</f>
        <v/>
      </c>
    </row>
    <row r="71">
      <c r="A71" s="13">
        <f>'Raw Enterprise Billing Data'!A71</f>
        <v/>
      </c>
      <c r="B71" s="13">
        <f>'Raw Enterprise Billing Data'!B71</f>
        <v/>
      </c>
      <c r="C71" s="13">
        <f>'Raw Enterprise Billing Data'!C71</f>
        <v/>
      </c>
      <c r="D71" s="14">
        <f>'Raw Enterprise Billing Data'!D71</f>
        <v/>
      </c>
      <c r="E71" s="13">
        <f>'Raw Enterprise Billing Data'!E71</f>
        <v/>
      </c>
      <c r="F71" s="14">
        <f>'Raw Enterprise Billing Data'!F71</f>
        <v/>
      </c>
      <c r="G71" s="15">
        <f>'Raw Enterprise Billing Data'!H71</f>
        <v/>
      </c>
      <c r="H71" s="13">
        <f>IF(COUNTIF($A$5:$A$499, A71)&gt;1, "⚠️ DUPLICATE", "UNIQUE")</f>
        <v/>
      </c>
      <c r="I71" s="14">
        <f>IF(OR(ISBLANK(D71), D71=""), "Unassigned", D71)</f>
        <v/>
      </c>
      <c r="J71" s="13">
        <f>IF(G71&lt;0, "CREDIT / ADJUSTMENT", "STANDARD USAGE")</f>
        <v/>
      </c>
    </row>
    <row r="72">
      <c r="A72" s="13">
        <f>'Raw Enterprise Billing Data'!A72</f>
        <v/>
      </c>
      <c r="B72" s="13">
        <f>'Raw Enterprise Billing Data'!B72</f>
        <v/>
      </c>
      <c r="C72" s="13">
        <f>'Raw Enterprise Billing Data'!C72</f>
        <v/>
      </c>
      <c r="D72" s="14">
        <f>'Raw Enterprise Billing Data'!D72</f>
        <v/>
      </c>
      <c r="E72" s="13">
        <f>'Raw Enterprise Billing Data'!E72</f>
        <v/>
      </c>
      <c r="F72" s="14">
        <f>'Raw Enterprise Billing Data'!F72</f>
        <v/>
      </c>
      <c r="G72" s="15">
        <f>'Raw Enterprise Billing Data'!H72</f>
        <v/>
      </c>
      <c r="H72" s="13">
        <f>IF(COUNTIF($A$5:$A$499, A72)&gt;1, "⚠️ DUPLICATE", "UNIQUE")</f>
        <v/>
      </c>
      <c r="I72" s="14">
        <f>IF(OR(ISBLANK(D72), D72=""), "Unassigned", D72)</f>
        <v/>
      </c>
      <c r="J72" s="13">
        <f>IF(G72&lt;0, "CREDIT / ADJUSTMENT", "STANDARD USAGE")</f>
        <v/>
      </c>
    </row>
    <row r="73">
      <c r="A73" s="13">
        <f>'Raw Enterprise Billing Data'!A73</f>
        <v/>
      </c>
      <c r="B73" s="13">
        <f>'Raw Enterprise Billing Data'!B73</f>
        <v/>
      </c>
      <c r="C73" s="13">
        <f>'Raw Enterprise Billing Data'!C73</f>
        <v/>
      </c>
      <c r="D73" s="14">
        <f>'Raw Enterprise Billing Data'!D73</f>
        <v/>
      </c>
      <c r="E73" s="13">
        <f>'Raw Enterprise Billing Data'!E73</f>
        <v/>
      </c>
      <c r="F73" s="14">
        <f>'Raw Enterprise Billing Data'!F73</f>
        <v/>
      </c>
      <c r="G73" s="15">
        <f>'Raw Enterprise Billing Data'!H73</f>
        <v/>
      </c>
      <c r="H73" s="13">
        <f>IF(COUNTIF($A$5:$A$499, A73)&gt;1, "⚠️ DUPLICATE", "UNIQUE")</f>
        <v/>
      </c>
      <c r="I73" s="14">
        <f>IF(OR(ISBLANK(D73), D73=""), "Unassigned", D73)</f>
        <v/>
      </c>
      <c r="J73" s="13">
        <f>IF(G73&lt;0, "CREDIT / ADJUSTMENT", "STANDARD USAGE")</f>
        <v/>
      </c>
    </row>
    <row r="74">
      <c r="A74" s="13">
        <f>'Raw Enterprise Billing Data'!A74</f>
        <v/>
      </c>
      <c r="B74" s="13">
        <f>'Raw Enterprise Billing Data'!B74</f>
        <v/>
      </c>
      <c r="C74" s="13">
        <f>'Raw Enterprise Billing Data'!C74</f>
        <v/>
      </c>
      <c r="D74" s="14">
        <f>'Raw Enterprise Billing Data'!D74</f>
        <v/>
      </c>
      <c r="E74" s="13">
        <f>'Raw Enterprise Billing Data'!E74</f>
        <v/>
      </c>
      <c r="F74" s="14">
        <f>'Raw Enterprise Billing Data'!F74</f>
        <v/>
      </c>
      <c r="G74" s="15">
        <f>'Raw Enterprise Billing Data'!H74</f>
        <v/>
      </c>
      <c r="H74" s="13">
        <f>IF(COUNTIF($A$5:$A$499, A74)&gt;1, "⚠️ DUPLICATE", "UNIQUE")</f>
        <v/>
      </c>
      <c r="I74" s="14">
        <f>IF(OR(ISBLANK(D74), D74=""), "Unassigned", D74)</f>
        <v/>
      </c>
      <c r="J74" s="13">
        <f>IF(G74&lt;0, "CREDIT / ADJUSTMENT", "STANDARD USAGE")</f>
        <v/>
      </c>
    </row>
    <row r="75">
      <c r="A75" s="13">
        <f>'Raw Enterprise Billing Data'!A75</f>
        <v/>
      </c>
      <c r="B75" s="13">
        <f>'Raw Enterprise Billing Data'!B75</f>
        <v/>
      </c>
      <c r="C75" s="13">
        <f>'Raw Enterprise Billing Data'!C75</f>
        <v/>
      </c>
      <c r="D75" s="14">
        <f>'Raw Enterprise Billing Data'!D75</f>
        <v/>
      </c>
      <c r="E75" s="13">
        <f>'Raw Enterprise Billing Data'!E75</f>
        <v/>
      </c>
      <c r="F75" s="14">
        <f>'Raw Enterprise Billing Data'!F75</f>
        <v/>
      </c>
      <c r="G75" s="15">
        <f>'Raw Enterprise Billing Data'!H75</f>
        <v/>
      </c>
      <c r="H75" s="13">
        <f>IF(COUNTIF($A$5:$A$499, A75)&gt;1, "⚠️ DUPLICATE", "UNIQUE")</f>
        <v/>
      </c>
      <c r="I75" s="14">
        <f>IF(OR(ISBLANK(D75), D75=""), "Unassigned", D75)</f>
        <v/>
      </c>
      <c r="J75" s="13">
        <f>IF(G75&lt;0, "CREDIT / ADJUSTMENT", "STANDARD USAGE")</f>
        <v/>
      </c>
    </row>
    <row r="76">
      <c r="A76" s="13">
        <f>'Raw Enterprise Billing Data'!A76</f>
        <v/>
      </c>
      <c r="B76" s="13">
        <f>'Raw Enterprise Billing Data'!B76</f>
        <v/>
      </c>
      <c r="C76" s="13">
        <f>'Raw Enterprise Billing Data'!C76</f>
        <v/>
      </c>
      <c r="D76" s="14">
        <f>'Raw Enterprise Billing Data'!D76</f>
        <v/>
      </c>
      <c r="E76" s="13">
        <f>'Raw Enterprise Billing Data'!E76</f>
        <v/>
      </c>
      <c r="F76" s="14">
        <f>'Raw Enterprise Billing Data'!F76</f>
        <v/>
      </c>
      <c r="G76" s="15">
        <f>'Raw Enterprise Billing Data'!H76</f>
        <v/>
      </c>
      <c r="H76" s="13">
        <f>IF(COUNTIF($A$5:$A$499, A76)&gt;1, "⚠️ DUPLICATE", "UNIQUE")</f>
        <v/>
      </c>
      <c r="I76" s="14">
        <f>IF(OR(ISBLANK(D76), D76=""), "Unassigned", D76)</f>
        <v/>
      </c>
      <c r="J76" s="13">
        <f>IF(G76&lt;0, "CREDIT / ADJUSTMENT", "STANDARD USAGE")</f>
        <v/>
      </c>
    </row>
    <row r="77">
      <c r="A77" s="13">
        <f>'Raw Enterprise Billing Data'!A77</f>
        <v/>
      </c>
      <c r="B77" s="13">
        <f>'Raw Enterprise Billing Data'!B77</f>
        <v/>
      </c>
      <c r="C77" s="13">
        <f>'Raw Enterprise Billing Data'!C77</f>
        <v/>
      </c>
      <c r="D77" s="14">
        <f>'Raw Enterprise Billing Data'!D77</f>
        <v/>
      </c>
      <c r="E77" s="13">
        <f>'Raw Enterprise Billing Data'!E77</f>
        <v/>
      </c>
      <c r="F77" s="14">
        <f>'Raw Enterprise Billing Data'!F77</f>
        <v/>
      </c>
      <c r="G77" s="15">
        <f>'Raw Enterprise Billing Data'!H77</f>
        <v/>
      </c>
      <c r="H77" s="13">
        <f>IF(COUNTIF($A$5:$A$499, A77)&gt;1, "⚠️ DUPLICATE", "UNIQUE")</f>
        <v/>
      </c>
      <c r="I77" s="14">
        <f>IF(OR(ISBLANK(D77), D77=""), "Unassigned", D77)</f>
        <v/>
      </c>
      <c r="J77" s="13">
        <f>IF(G77&lt;0, "CREDIT / ADJUSTMENT", "STANDARD USAGE")</f>
        <v/>
      </c>
    </row>
    <row r="78">
      <c r="A78" s="13">
        <f>'Raw Enterprise Billing Data'!A78</f>
        <v/>
      </c>
      <c r="B78" s="13">
        <f>'Raw Enterprise Billing Data'!B78</f>
        <v/>
      </c>
      <c r="C78" s="13">
        <f>'Raw Enterprise Billing Data'!C78</f>
        <v/>
      </c>
      <c r="D78" s="14">
        <f>'Raw Enterprise Billing Data'!D78</f>
        <v/>
      </c>
      <c r="E78" s="13">
        <f>'Raw Enterprise Billing Data'!E78</f>
        <v/>
      </c>
      <c r="F78" s="14">
        <f>'Raw Enterprise Billing Data'!F78</f>
        <v/>
      </c>
      <c r="G78" s="15">
        <f>'Raw Enterprise Billing Data'!H78</f>
        <v/>
      </c>
      <c r="H78" s="13">
        <f>IF(COUNTIF($A$5:$A$499, A78)&gt;1, "⚠️ DUPLICATE", "UNIQUE")</f>
        <v/>
      </c>
      <c r="I78" s="14">
        <f>IF(OR(ISBLANK(D78), D78=""), "Unassigned", D78)</f>
        <v/>
      </c>
      <c r="J78" s="13">
        <f>IF(G78&lt;0, "CREDIT / ADJUSTMENT", "STANDARD USAGE")</f>
        <v/>
      </c>
    </row>
    <row r="79">
      <c r="A79" s="13">
        <f>'Raw Enterprise Billing Data'!A79</f>
        <v/>
      </c>
      <c r="B79" s="13">
        <f>'Raw Enterprise Billing Data'!B79</f>
        <v/>
      </c>
      <c r="C79" s="13">
        <f>'Raw Enterprise Billing Data'!C79</f>
        <v/>
      </c>
      <c r="D79" s="14">
        <f>'Raw Enterprise Billing Data'!D79</f>
        <v/>
      </c>
      <c r="E79" s="13">
        <f>'Raw Enterprise Billing Data'!E79</f>
        <v/>
      </c>
      <c r="F79" s="14">
        <f>'Raw Enterprise Billing Data'!F79</f>
        <v/>
      </c>
      <c r="G79" s="15">
        <f>'Raw Enterprise Billing Data'!H79</f>
        <v/>
      </c>
      <c r="H79" s="13">
        <f>IF(COUNTIF($A$5:$A$499, A79)&gt;1, "⚠️ DUPLICATE", "UNIQUE")</f>
        <v/>
      </c>
      <c r="I79" s="14">
        <f>IF(OR(ISBLANK(D79), D79=""), "Unassigned", D79)</f>
        <v/>
      </c>
      <c r="J79" s="13">
        <f>IF(G79&lt;0, "CREDIT / ADJUSTMENT", "STANDARD USAGE")</f>
        <v/>
      </c>
    </row>
    <row r="80">
      <c r="A80" s="13">
        <f>'Raw Enterprise Billing Data'!A80</f>
        <v/>
      </c>
      <c r="B80" s="13">
        <f>'Raw Enterprise Billing Data'!B80</f>
        <v/>
      </c>
      <c r="C80" s="13">
        <f>'Raw Enterprise Billing Data'!C80</f>
        <v/>
      </c>
      <c r="D80" s="14">
        <f>'Raw Enterprise Billing Data'!D80</f>
        <v/>
      </c>
      <c r="E80" s="13">
        <f>'Raw Enterprise Billing Data'!E80</f>
        <v/>
      </c>
      <c r="F80" s="14">
        <f>'Raw Enterprise Billing Data'!F80</f>
        <v/>
      </c>
      <c r="G80" s="15">
        <f>'Raw Enterprise Billing Data'!H80</f>
        <v/>
      </c>
      <c r="H80" s="13">
        <f>IF(COUNTIF($A$5:$A$499, A80)&gt;1, "⚠️ DUPLICATE", "UNIQUE")</f>
        <v/>
      </c>
      <c r="I80" s="14">
        <f>IF(OR(ISBLANK(D80), D80=""), "Unassigned", D80)</f>
        <v/>
      </c>
      <c r="J80" s="13">
        <f>IF(G80&lt;0, "CREDIT / ADJUSTMENT", "STANDARD USAGE")</f>
        <v/>
      </c>
    </row>
    <row r="81">
      <c r="A81" s="13">
        <f>'Raw Enterprise Billing Data'!A81</f>
        <v/>
      </c>
      <c r="B81" s="13">
        <f>'Raw Enterprise Billing Data'!B81</f>
        <v/>
      </c>
      <c r="C81" s="13">
        <f>'Raw Enterprise Billing Data'!C81</f>
        <v/>
      </c>
      <c r="D81" s="14">
        <f>'Raw Enterprise Billing Data'!D81</f>
        <v/>
      </c>
      <c r="E81" s="13">
        <f>'Raw Enterprise Billing Data'!E81</f>
        <v/>
      </c>
      <c r="F81" s="14">
        <f>'Raw Enterprise Billing Data'!F81</f>
        <v/>
      </c>
      <c r="G81" s="15">
        <f>'Raw Enterprise Billing Data'!H81</f>
        <v/>
      </c>
      <c r="H81" s="13">
        <f>IF(COUNTIF($A$5:$A$499, A81)&gt;1, "⚠️ DUPLICATE", "UNIQUE")</f>
        <v/>
      </c>
      <c r="I81" s="14">
        <f>IF(OR(ISBLANK(D81), D81=""), "Unassigned", D81)</f>
        <v/>
      </c>
      <c r="J81" s="13">
        <f>IF(G81&lt;0, "CREDIT / ADJUSTMENT", "STANDARD USAGE")</f>
        <v/>
      </c>
    </row>
    <row r="82">
      <c r="A82" s="13">
        <f>'Raw Enterprise Billing Data'!A82</f>
        <v/>
      </c>
      <c r="B82" s="13">
        <f>'Raw Enterprise Billing Data'!B82</f>
        <v/>
      </c>
      <c r="C82" s="13">
        <f>'Raw Enterprise Billing Data'!C82</f>
        <v/>
      </c>
      <c r="D82" s="14">
        <f>'Raw Enterprise Billing Data'!D82</f>
        <v/>
      </c>
      <c r="E82" s="13">
        <f>'Raw Enterprise Billing Data'!E82</f>
        <v/>
      </c>
      <c r="F82" s="14">
        <f>'Raw Enterprise Billing Data'!F82</f>
        <v/>
      </c>
      <c r="G82" s="15">
        <f>'Raw Enterprise Billing Data'!H82</f>
        <v/>
      </c>
      <c r="H82" s="13">
        <f>IF(COUNTIF($A$5:$A$499, A82)&gt;1, "⚠️ DUPLICATE", "UNIQUE")</f>
        <v/>
      </c>
      <c r="I82" s="14">
        <f>IF(OR(ISBLANK(D82), D82=""), "Unassigned", D82)</f>
        <v/>
      </c>
      <c r="J82" s="13">
        <f>IF(G82&lt;0, "CREDIT / ADJUSTMENT", "STANDARD USAGE")</f>
        <v/>
      </c>
    </row>
    <row r="83">
      <c r="A83" s="13">
        <f>'Raw Enterprise Billing Data'!A83</f>
        <v/>
      </c>
      <c r="B83" s="13">
        <f>'Raw Enterprise Billing Data'!B83</f>
        <v/>
      </c>
      <c r="C83" s="13">
        <f>'Raw Enterprise Billing Data'!C83</f>
        <v/>
      </c>
      <c r="D83" s="14">
        <f>'Raw Enterprise Billing Data'!D83</f>
        <v/>
      </c>
      <c r="E83" s="13">
        <f>'Raw Enterprise Billing Data'!E83</f>
        <v/>
      </c>
      <c r="F83" s="14">
        <f>'Raw Enterprise Billing Data'!F83</f>
        <v/>
      </c>
      <c r="G83" s="15">
        <f>'Raw Enterprise Billing Data'!H83</f>
        <v/>
      </c>
      <c r="H83" s="13">
        <f>IF(COUNTIF($A$5:$A$499, A83)&gt;1, "⚠️ DUPLICATE", "UNIQUE")</f>
        <v/>
      </c>
      <c r="I83" s="14">
        <f>IF(OR(ISBLANK(D83), D83=""), "Unassigned", D83)</f>
        <v/>
      </c>
      <c r="J83" s="13">
        <f>IF(G83&lt;0, "CREDIT / ADJUSTMENT", "STANDARD USAGE")</f>
        <v/>
      </c>
    </row>
    <row r="84">
      <c r="A84" s="13">
        <f>'Raw Enterprise Billing Data'!A84</f>
        <v/>
      </c>
      <c r="B84" s="13">
        <f>'Raw Enterprise Billing Data'!B84</f>
        <v/>
      </c>
      <c r="C84" s="13">
        <f>'Raw Enterprise Billing Data'!C84</f>
        <v/>
      </c>
      <c r="D84" s="14">
        <f>'Raw Enterprise Billing Data'!D84</f>
        <v/>
      </c>
      <c r="E84" s="13">
        <f>'Raw Enterprise Billing Data'!E84</f>
        <v/>
      </c>
      <c r="F84" s="14">
        <f>'Raw Enterprise Billing Data'!F84</f>
        <v/>
      </c>
      <c r="G84" s="15">
        <f>'Raw Enterprise Billing Data'!H84</f>
        <v/>
      </c>
      <c r="H84" s="13">
        <f>IF(COUNTIF($A$5:$A$499, A84)&gt;1, "⚠️ DUPLICATE", "UNIQUE")</f>
        <v/>
      </c>
      <c r="I84" s="14">
        <f>IF(OR(ISBLANK(D84), D84=""), "Unassigned", D84)</f>
        <v/>
      </c>
      <c r="J84" s="13">
        <f>IF(G84&lt;0, "CREDIT / ADJUSTMENT", "STANDARD USAGE")</f>
        <v/>
      </c>
    </row>
    <row r="85">
      <c r="A85" s="13">
        <f>'Raw Enterprise Billing Data'!A85</f>
        <v/>
      </c>
      <c r="B85" s="13">
        <f>'Raw Enterprise Billing Data'!B85</f>
        <v/>
      </c>
      <c r="C85" s="13">
        <f>'Raw Enterprise Billing Data'!C85</f>
        <v/>
      </c>
      <c r="D85" s="14">
        <f>'Raw Enterprise Billing Data'!D85</f>
        <v/>
      </c>
      <c r="E85" s="13">
        <f>'Raw Enterprise Billing Data'!E85</f>
        <v/>
      </c>
      <c r="F85" s="14">
        <f>'Raw Enterprise Billing Data'!F85</f>
        <v/>
      </c>
      <c r="G85" s="15">
        <f>'Raw Enterprise Billing Data'!H85</f>
        <v/>
      </c>
      <c r="H85" s="13">
        <f>IF(COUNTIF($A$5:$A$499, A85)&gt;1, "⚠️ DUPLICATE", "UNIQUE")</f>
        <v/>
      </c>
      <c r="I85" s="14">
        <f>IF(OR(ISBLANK(D85), D85=""), "Unassigned", D85)</f>
        <v/>
      </c>
      <c r="J85" s="13">
        <f>IF(G85&lt;0, "CREDIT / ADJUSTMENT", "STANDARD USAGE")</f>
        <v/>
      </c>
    </row>
    <row r="86">
      <c r="A86" s="13">
        <f>'Raw Enterprise Billing Data'!A86</f>
        <v/>
      </c>
      <c r="B86" s="13">
        <f>'Raw Enterprise Billing Data'!B86</f>
        <v/>
      </c>
      <c r="C86" s="13">
        <f>'Raw Enterprise Billing Data'!C86</f>
        <v/>
      </c>
      <c r="D86" s="14">
        <f>'Raw Enterprise Billing Data'!D86</f>
        <v/>
      </c>
      <c r="E86" s="13">
        <f>'Raw Enterprise Billing Data'!E86</f>
        <v/>
      </c>
      <c r="F86" s="14">
        <f>'Raw Enterprise Billing Data'!F86</f>
        <v/>
      </c>
      <c r="G86" s="15">
        <f>'Raw Enterprise Billing Data'!H86</f>
        <v/>
      </c>
      <c r="H86" s="13">
        <f>IF(COUNTIF($A$5:$A$499, A86)&gt;1, "⚠️ DUPLICATE", "UNIQUE")</f>
        <v/>
      </c>
      <c r="I86" s="14">
        <f>IF(OR(ISBLANK(D86), D86=""), "Unassigned", D86)</f>
        <v/>
      </c>
      <c r="J86" s="13">
        <f>IF(G86&lt;0, "CREDIT / ADJUSTMENT", "STANDARD USAGE")</f>
        <v/>
      </c>
    </row>
    <row r="87">
      <c r="A87" s="13">
        <f>'Raw Enterprise Billing Data'!A87</f>
        <v/>
      </c>
      <c r="B87" s="13">
        <f>'Raw Enterprise Billing Data'!B87</f>
        <v/>
      </c>
      <c r="C87" s="13">
        <f>'Raw Enterprise Billing Data'!C87</f>
        <v/>
      </c>
      <c r="D87" s="14">
        <f>'Raw Enterprise Billing Data'!D87</f>
        <v/>
      </c>
      <c r="E87" s="13">
        <f>'Raw Enterprise Billing Data'!E87</f>
        <v/>
      </c>
      <c r="F87" s="14">
        <f>'Raw Enterprise Billing Data'!F87</f>
        <v/>
      </c>
      <c r="G87" s="15">
        <f>'Raw Enterprise Billing Data'!H87</f>
        <v/>
      </c>
      <c r="H87" s="13">
        <f>IF(COUNTIF($A$5:$A$499, A87)&gt;1, "⚠️ DUPLICATE", "UNIQUE")</f>
        <v/>
      </c>
      <c r="I87" s="14">
        <f>IF(OR(ISBLANK(D87), D87=""), "Unassigned", D87)</f>
        <v/>
      </c>
      <c r="J87" s="13">
        <f>IF(G87&lt;0, "CREDIT / ADJUSTMENT", "STANDARD USAGE")</f>
        <v/>
      </c>
    </row>
    <row r="88">
      <c r="A88" s="13">
        <f>'Raw Enterprise Billing Data'!A88</f>
        <v/>
      </c>
      <c r="B88" s="13">
        <f>'Raw Enterprise Billing Data'!B88</f>
        <v/>
      </c>
      <c r="C88" s="13">
        <f>'Raw Enterprise Billing Data'!C88</f>
        <v/>
      </c>
      <c r="D88" s="14">
        <f>'Raw Enterprise Billing Data'!D88</f>
        <v/>
      </c>
      <c r="E88" s="13">
        <f>'Raw Enterprise Billing Data'!E88</f>
        <v/>
      </c>
      <c r="F88" s="14">
        <f>'Raw Enterprise Billing Data'!F88</f>
        <v/>
      </c>
      <c r="G88" s="15">
        <f>'Raw Enterprise Billing Data'!H88</f>
        <v/>
      </c>
      <c r="H88" s="13">
        <f>IF(COUNTIF($A$5:$A$499, A88)&gt;1, "⚠️ DUPLICATE", "UNIQUE")</f>
        <v/>
      </c>
      <c r="I88" s="14">
        <f>IF(OR(ISBLANK(D88), D88=""), "Unassigned", D88)</f>
        <v/>
      </c>
      <c r="J88" s="13">
        <f>IF(G88&lt;0, "CREDIT / ADJUSTMENT", "STANDARD USAGE")</f>
        <v/>
      </c>
    </row>
    <row r="89">
      <c r="A89" s="13">
        <f>'Raw Enterprise Billing Data'!A89</f>
        <v/>
      </c>
      <c r="B89" s="13">
        <f>'Raw Enterprise Billing Data'!B89</f>
        <v/>
      </c>
      <c r="C89" s="13">
        <f>'Raw Enterprise Billing Data'!C89</f>
        <v/>
      </c>
      <c r="D89" s="14">
        <f>'Raw Enterprise Billing Data'!D89</f>
        <v/>
      </c>
      <c r="E89" s="13">
        <f>'Raw Enterprise Billing Data'!E89</f>
        <v/>
      </c>
      <c r="F89" s="14">
        <f>'Raw Enterprise Billing Data'!F89</f>
        <v/>
      </c>
      <c r="G89" s="15">
        <f>'Raw Enterprise Billing Data'!H89</f>
        <v/>
      </c>
      <c r="H89" s="13">
        <f>IF(COUNTIF($A$5:$A$499, A89)&gt;1, "⚠️ DUPLICATE", "UNIQUE")</f>
        <v/>
      </c>
      <c r="I89" s="14">
        <f>IF(OR(ISBLANK(D89), D89=""), "Unassigned", D89)</f>
        <v/>
      </c>
      <c r="J89" s="13">
        <f>IF(G89&lt;0, "CREDIT / ADJUSTMENT", "STANDARD USAGE")</f>
        <v/>
      </c>
    </row>
    <row r="90">
      <c r="A90" s="13">
        <f>'Raw Enterprise Billing Data'!A90</f>
        <v/>
      </c>
      <c r="B90" s="13">
        <f>'Raw Enterprise Billing Data'!B90</f>
        <v/>
      </c>
      <c r="C90" s="13">
        <f>'Raw Enterprise Billing Data'!C90</f>
        <v/>
      </c>
      <c r="D90" s="14">
        <f>'Raw Enterprise Billing Data'!D90</f>
        <v/>
      </c>
      <c r="E90" s="13">
        <f>'Raw Enterprise Billing Data'!E90</f>
        <v/>
      </c>
      <c r="F90" s="14">
        <f>'Raw Enterprise Billing Data'!F90</f>
        <v/>
      </c>
      <c r="G90" s="15">
        <f>'Raw Enterprise Billing Data'!H90</f>
        <v/>
      </c>
      <c r="H90" s="13">
        <f>IF(COUNTIF($A$5:$A$499, A90)&gt;1, "⚠️ DUPLICATE", "UNIQUE")</f>
        <v/>
      </c>
      <c r="I90" s="14">
        <f>IF(OR(ISBLANK(D90), D90=""), "Unassigned", D90)</f>
        <v/>
      </c>
      <c r="J90" s="13">
        <f>IF(G90&lt;0, "CREDIT / ADJUSTMENT", "STANDARD USAGE")</f>
        <v/>
      </c>
    </row>
    <row r="91">
      <c r="A91" s="13">
        <f>'Raw Enterprise Billing Data'!A91</f>
        <v/>
      </c>
      <c r="B91" s="13">
        <f>'Raw Enterprise Billing Data'!B91</f>
        <v/>
      </c>
      <c r="C91" s="13">
        <f>'Raw Enterprise Billing Data'!C91</f>
        <v/>
      </c>
      <c r="D91" s="14">
        <f>'Raw Enterprise Billing Data'!D91</f>
        <v/>
      </c>
      <c r="E91" s="13">
        <f>'Raw Enterprise Billing Data'!E91</f>
        <v/>
      </c>
      <c r="F91" s="14">
        <f>'Raw Enterprise Billing Data'!F91</f>
        <v/>
      </c>
      <c r="G91" s="15">
        <f>'Raw Enterprise Billing Data'!H91</f>
        <v/>
      </c>
      <c r="H91" s="13">
        <f>IF(COUNTIF($A$5:$A$499, A91)&gt;1, "⚠️ DUPLICATE", "UNIQUE")</f>
        <v/>
      </c>
      <c r="I91" s="14">
        <f>IF(OR(ISBLANK(D91), D91=""), "Unassigned", D91)</f>
        <v/>
      </c>
      <c r="J91" s="13">
        <f>IF(G91&lt;0, "CREDIT / ADJUSTMENT", "STANDARD USAGE")</f>
        <v/>
      </c>
    </row>
    <row r="92">
      <c r="A92" s="13">
        <f>'Raw Enterprise Billing Data'!A92</f>
        <v/>
      </c>
      <c r="B92" s="13">
        <f>'Raw Enterprise Billing Data'!B92</f>
        <v/>
      </c>
      <c r="C92" s="13">
        <f>'Raw Enterprise Billing Data'!C92</f>
        <v/>
      </c>
      <c r="D92" s="14">
        <f>'Raw Enterprise Billing Data'!D92</f>
        <v/>
      </c>
      <c r="E92" s="13">
        <f>'Raw Enterprise Billing Data'!E92</f>
        <v/>
      </c>
      <c r="F92" s="14">
        <f>'Raw Enterprise Billing Data'!F92</f>
        <v/>
      </c>
      <c r="G92" s="15">
        <f>'Raw Enterprise Billing Data'!H92</f>
        <v/>
      </c>
      <c r="H92" s="13">
        <f>IF(COUNTIF($A$5:$A$499, A92)&gt;1, "⚠️ DUPLICATE", "UNIQUE")</f>
        <v/>
      </c>
      <c r="I92" s="14">
        <f>IF(OR(ISBLANK(D92), D92=""), "Unassigned", D92)</f>
        <v/>
      </c>
      <c r="J92" s="13">
        <f>IF(G92&lt;0, "CREDIT / ADJUSTMENT", "STANDARD USAGE")</f>
        <v/>
      </c>
    </row>
    <row r="93">
      <c r="A93" s="13">
        <f>'Raw Enterprise Billing Data'!A93</f>
        <v/>
      </c>
      <c r="B93" s="13">
        <f>'Raw Enterprise Billing Data'!B93</f>
        <v/>
      </c>
      <c r="C93" s="13">
        <f>'Raw Enterprise Billing Data'!C93</f>
        <v/>
      </c>
      <c r="D93" s="14">
        <f>'Raw Enterprise Billing Data'!D93</f>
        <v/>
      </c>
      <c r="E93" s="13">
        <f>'Raw Enterprise Billing Data'!E93</f>
        <v/>
      </c>
      <c r="F93" s="14">
        <f>'Raw Enterprise Billing Data'!F93</f>
        <v/>
      </c>
      <c r="G93" s="15">
        <f>'Raw Enterprise Billing Data'!H93</f>
        <v/>
      </c>
      <c r="H93" s="13">
        <f>IF(COUNTIF($A$5:$A$499, A93)&gt;1, "⚠️ DUPLICATE", "UNIQUE")</f>
        <v/>
      </c>
      <c r="I93" s="14">
        <f>IF(OR(ISBLANK(D93), D93=""), "Unassigned", D93)</f>
        <v/>
      </c>
      <c r="J93" s="13">
        <f>IF(G93&lt;0, "CREDIT / ADJUSTMENT", "STANDARD USAGE")</f>
        <v/>
      </c>
    </row>
    <row r="94">
      <c r="A94" s="13">
        <f>'Raw Enterprise Billing Data'!A94</f>
        <v/>
      </c>
      <c r="B94" s="13">
        <f>'Raw Enterprise Billing Data'!B94</f>
        <v/>
      </c>
      <c r="C94" s="13">
        <f>'Raw Enterprise Billing Data'!C94</f>
        <v/>
      </c>
      <c r="D94" s="14">
        <f>'Raw Enterprise Billing Data'!D94</f>
        <v/>
      </c>
      <c r="E94" s="13">
        <f>'Raw Enterprise Billing Data'!E94</f>
        <v/>
      </c>
      <c r="F94" s="14">
        <f>'Raw Enterprise Billing Data'!F94</f>
        <v/>
      </c>
      <c r="G94" s="15">
        <f>'Raw Enterprise Billing Data'!H94</f>
        <v/>
      </c>
      <c r="H94" s="13">
        <f>IF(COUNTIF($A$5:$A$499, A94)&gt;1, "⚠️ DUPLICATE", "UNIQUE")</f>
        <v/>
      </c>
      <c r="I94" s="14">
        <f>IF(OR(ISBLANK(D94), D94=""), "Unassigned", D94)</f>
        <v/>
      </c>
      <c r="J94" s="13">
        <f>IF(G94&lt;0, "CREDIT / ADJUSTMENT", "STANDARD USAGE")</f>
        <v/>
      </c>
    </row>
    <row r="95">
      <c r="A95" s="13">
        <f>'Raw Enterprise Billing Data'!A95</f>
        <v/>
      </c>
      <c r="B95" s="13">
        <f>'Raw Enterprise Billing Data'!B95</f>
        <v/>
      </c>
      <c r="C95" s="13">
        <f>'Raw Enterprise Billing Data'!C95</f>
        <v/>
      </c>
      <c r="D95" s="14">
        <f>'Raw Enterprise Billing Data'!D95</f>
        <v/>
      </c>
      <c r="E95" s="13">
        <f>'Raw Enterprise Billing Data'!E95</f>
        <v/>
      </c>
      <c r="F95" s="14">
        <f>'Raw Enterprise Billing Data'!F95</f>
        <v/>
      </c>
      <c r="G95" s="15">
        <f>'Raw Enterprise Billing Data'!H95</f>
        <v/>
      </c>
      <c r="H95" s="13">
        <f>IF(COUNTIF($A$5:$A$499, A95)&gt;1, "⚠️ DUPLICATE", "UNIQUE")</f>
        <v/>
      </c>
      <c r="I95" s="14">
        <f>IF(OR(ISBLANK(D95), D95=""), "Unassigned", D95)</f>
        <v/>
      </c>
      <c r="J95" s="13">
        <f>IF(G95&lt;0, "CREDIT / ADJUSTMENT", "STANDARD USAGE")</f>
        <v/>
      </c>
    </row>
    <row r="96">
      <c r="A96" s="13">
        <f>'Raw Enterprise Billing Data'!A96</f>
        <v/>
      </c>
      <c r="B96" s="13">
        <f>'Raw Enterprise Billing Data'!B96</f>
        <v/>
      </c>
      <c r="C96" s="13">
        <f>'Raw Enterprise Billing Data'!C96</f>
        <v/>
      </c>
      <c r="D96" s="14">
        <f>'Raw Enterprise Billing Data'!D96</f>
        <v/>
      </c>
      <c r="E96" s="13">
        <f>'Raw Enterprise Billing Data'!E96</f>
        <v/>
      </c>
      <c r="F96" s="14">
        <f>'Raw Enterprise Billing Data'!F96</f>
        <v/>
      </c>
      <c r="G96" s="15">
        <f>'Raw Enterprise Billing Data'!H96</f>
        <v/>
      </c>
      <c r="H96" s="13">
        <f>IF(COUNTIF($A$5:$A$499, A96)&gt;1, "⚠️ DUPLICATE", "UNIQUE")</f>
        <v/>
      </c>
      <c r="I96" s="14">
        <f>IF(OR(ISBLANK(D96), D96=""), "Unassigned", D96)</f>
        <v/>
      </c>
      <c r="J96" s="13">
        <f>IF(G96&lt;0, "CREDIT / ADJUSTMENT", "STANDARD USAGE")</f>
        <v/>
      </c>
    </row>
    <row r="97">
      <c r="A97" s="13">
        <f>'Raw Enterprise Billing Data'!A97</f>
        <v/>
      </c>
      <c r="B97" s="13">
        <f>'Raw Enterprise Billing Data'!B97</f>
        <v/>
      </c>
      <c r="C97" s="13">
        <f>'Raw Enterprise Billing Data'!C97</f>
        <v/>
      </c>
      <c r="D97" s="14">
        <f>'Raw Enterprise Billing Data'!D97</f>
        <v/>
      </c>
      <c r="E97" s="13">
        <f>'Raw Enterprise Billing Data'!E97</f>
        <v/>
      </c>
      <c r="F97" s="14">
        <f>'Raw Enterprise Billing Data'!F97</f>
        <v/>
      </c>
      <c r="G97" s="15">
        <f>'Raw Enterprise Billing Data'!H97</f>
        <v/>
      </c>
      <c r="H97" s="13">
        <f>IF(COUNTIF($A$5:$A$499, A97)&gt;1, "⚠️ DUPLICATE", "UNIQUE")</f>
        <v/>
      </c>
      <c r="I97" s="14">
        <f>IF(OR(ISBLANK(D97), D97=""), "Unassigned", D97)</f>
        <v/>
      </c>
      <c r="J97" s="13">
        <f>IF(G97&lt;0, "CREDIT / ADJUSTMENT", "STANDARD USAGE")</f>
        <v/>
      </c>
    </row>
    <row r="98">
      <c r="A98" s="13">
        <f>'Raw Enterprise Billing Data'!A98</f>
        <v/>
      </c>
      <c r="B98" s="13">
        <f>'Raw Enterprise Billing Data'!B98</f>
        <v/>
      </c>
      <c r="C98" s="13">
        <f>'Raw Enterprise Billing Data'!C98</f>
        <v/>
      </c>
      <c r="D98" s="14">
        <f>'Raw Enterprise Billing Data'!D98</f>
        <v/>
      </c>
      <c r="E98" s="13">
        <f>'Raw Enterprise Billing Data'!E98</f>
        <v/>
      </c>
      <c r="F98" s="14">
        <f>'Raw Enterprise Billing Data'!F98</f>
        <v/>
      </c>
      <c r="G98" s="15">
        <f>'Raw Enterprise Billing Data'!H98</f>
        <v/>
      </c>
      <c r="H98" s="13">
        <f>IF(COUNTIF($A$5:$A$499, A98)&gt;1, "⚠️ DUPLICATE", "UNIQUE")</f>
        <v/>
      </c>
      <c r="I98" s="14">
        <f>IF(OR(ISBLANK(D98), D98=""), "Unassigned", D98)</f>
        <v/>
      </c>
      <c r="J98" s="13">
        <f>IF(G98&lt;0, "CREDIT / ADJUSTMENT", "STANDARD USAGE")</f>
        <v/>
      </c>
    </row>
    <row r="99">
      <c r="A99" s="13">
        <f>'Raw Enterprise Billing Data'!A99</f>
        <v/>
      </c>
      <c r="B99" s="13">
        <f>'Raw Enterprise Billing Data'!B99</f>
        <v/>
      </c>
      <c r="C99" s="13">
        <f>'Raw Enterprise Billing Data'!C99</f>
        <v/>
      </c>
      <c r="D99" s="14">
        <f>'Raw Enterprise Billing Data'!D99</f>
        <v/>
      </c>
      <c r="E99" s="13">
        <f>'Raw Enterprise Billing Data'!E99</f>
        <v/>
      </c>
      <c r="F99" s="14">
        <f>'Raw Enterprise Billing Data'!F99</f>
        <v/>
      </c>
      <c r="G99" s="15">
        <f>'Raw Enterprise Billing Data'!H99</f>
        <v/>
      </c>
      <c r="H99" s="13">
        <f>IF(COUNTIF($A$5:$A$499, A99)&gt;1, "⚠️ DUPLICATE", "UNIQUE")</f>
        <v/>
      </c>
      <c r="I99" s="14">
        <f>IF(OR(ISBLANK(D99), D99=""), "Unassigned", D99)</f>
        <v/>
      </c>
      <c r="J99" s="13">
        <f>IF(G99&lt;0, "CREDIT / ADJUSTMENT", "STANDARD USAGE")</f>
        <v/>
      </c>
    </row>
    <row r="100">
      <c r="A100" s="13">
        <f>'Raw Enterprise Billing Data'!A100</f>
        <v/>
      </c>
      <c r="B100" s="13">
        <f>'Raw Enterprise Billing Data'!B100</f>
        <v/>
      </c>
      <c r="C100" s="13">
        <f>'Raw Enterprise Billing Data'!C100</f>
        <v/>
      </c>
      <c r="D100" s="14">
        <f>'Raw Enterprise Billing Data'!D100</f>
        <v/>
      </c>
      <c r="E100" s="13">
        <f>'Raw Enterprise Billing Data'!E100</f>
        <v/>
      </c>
      <c r="F100" s="14">
        <f>'Raw Enterprise Billing Data'!F100</f>
        <v/>
      </c>
      <c r="G100" s="15">
        <f>'Raw Enterprise Billing Data'!H100</f>
        <v/>
      </c>
      <c r="H100" s="13">
        <f>IF(COUNTIF($A$5:$A$499, A100)&gt;1, "⚠️ DUPLICATE", "UNIQUE")</f>
        <v/>
      </c>
      <c r="I100" s="14">
        <f>IF(OR(ISBLANK(D100), D100=""), "Unassigned", D100)</f>
        <v/>
      </c>
      <c r="J100" s="13">
        <f>IF(G100&lt;0, "CREDIT / ADJUSTMENT", "STANDARD USAGE")</f>
        <v/>
      </c>
    </row>
    <row r="101">
      <c r="A101" s="13">
        <f>'Raw Enterprise Billing Data'!A101</f>
        <v/>
      </c>
      <c r="B101" s="13">
        <f>'Raw Enterprise Billing Data'!B101</f>
        <v/>
      </c>
      <c r="C101" s="13">
        <f>'Raw Enterprise Billing Data'!C101</f>
        <v/>
      </c>
      <c r="D101" s="14">
        <f>'Raw Enterprise Billing Data'!D101</f>
        <v/>
      </c>
      <c r="E101" s="13">
        <f>'Raw Enterprise Billing Data'!E101</f>
        <v/>
      </c>
      <c r="F101" s="14">
        <f>'Raw Enterprise Billing Data'!F101</f>
        <v/>
      </c>
      <c r="G101" s="15">
        <f>'Raw Enterprise Billing Data'!H101</f>
        <v/>
      </c>
      <c r="H101" s="13">
        <f>IF(COUNTIF($A$5:$A$499, A101)&gt;1, "⚠️ DUPLICATE", "UNIQUE")</f>
        <v/>
      </c>
      <c r="I101" s="14">
        <f>IF(OR(ISBLANK(D101), D101=""), "Unassigned", D101)</f>
        <v/>
      </c>
      <c r="J101" s="13">
        <f>IF(G101&lt;0, "CREDIT / ADJUSTMENT", "STANDARD USAGE")</f>
        <v/>
      </c>
    </row>
    <row r="102">
      <c r="A102" s="13">
        <f>'Raw Enterprise Billing Data'!A102</f>
        <v/>
      </c>
      <c r="B102" s="13">
        <f>'Raw Enterprise Billing Data'!B102</f>
        <v/>
      </c>
      <c r="C102" s="13">
        <f>'Raw Enterprise Billing Data'!C102</f>
        <v/>
      </c>
      <c r="D102" s="14">
        <f>'Raw Enterprise Billing Data'!D102</f>
        <v/>
      </c>
      <c r="E102" s="13">
        <f>'Raw Enterprise Billing Data'!E102</f>
        <v/>
      </c>
      <c r="F102" s="14">
        <f>'Raw Enterprise Billing Data'!F102</f>
        <v/>
      </c>
      <c r="G102" s="15">
        <f>'Raw Enterprise Billing Data'!H102</f>
        <v/>
      </c>
      <c r="H102" s="13">
        <f>IF(COUNTIF($A$5:$A$499, A102)&gt;1, "⚠️ DUPLICATE", "UNIQUE")</f>
        <v/>
      </c>
      <c r="I102" s="14">
        <f>IF(OR(ISBLANK(D102), D102=""), "Unassigned", D102)</f>
        <v/>
      </c>
      <c r="J102" s="13">
        <f>IF(G102&lt;0, "CREDIT / ADJUSTMENT", "STANDARD USAGE")</f>
        <v/>
      </c>
    </row>
    <row r="103">
      <c r="A103" s="13">
        <f>'Raw Enterprise Billing Data'!A103</f>
        <v/>
      </c>
      <c r="B103" s="13">
        <f>'Raw Enterprise Billing Data'!B103</f>
        <v/>
      </c>
      <c r="C103" s="13">
        <f>'Raw Enterprise Billing Data'!C103</f>
        <v/>
      </c>
      <c r="D103" s="14">
        <f>'Raw Enterprise Billing Data'!D103</f>
        <v/>
      </c>
      <c r="E103" s="13">
        <f>'Raw Enterprise Billing Data'!E103</f>
        <v/>
      </c>
      <c r="F103" s="14">
        <f>'Raw Enterprise Billing Data'!F103</f>
        <v/>
      </c>
      <c r="G103" s="15">
        <f>'Raw Enterprise Billing Data'!H103</f>
        <v/>
      </c>
      <c r="H103" s="13">
        <f>IF(COUNTIF($A$5:$A$499, A103)&gt;1, "⚠️ DUPLICATE", "UNIQUE")</f>
        <v/>
      </c>
      <c r="I103" s="14">
        <f>IF(OR(ISBLANK(D103), D103=""), "Unassigned", D103)</f>
        <v/>
      </c>
      <c r="J103" s="13">
        <f>IF(G103&lt;0, "CREDIT / ADJUSTMENT", "STANDARD USAGE")</f>
        <v/>
      </c>
    </row>
    <row r="104">
      <c r="A104" s="13">
        <f>'Raw Enterprise Billing Data'!A104</f>
        <v/>
      </c>
      <c r="B104" s="13">
        <f>'Raw Enterprise Billing Data'!B104</f>
        <v/>
      </c>
      <c r="C104" s="13">
        <f>'Raw Enterprise Billing Data'!C104</f>
        <v/>
      </c>
      <c r="D104" s="14">
        <f>'Raw Enterprise Billing Data'!D104</f>
        <v/>
      </c>
      <c r="E104" s="13">
        <f>'Raw Enterprise Billing Data'!E104</f>
        <v/>
      </c>
      <c r="F104" s="14">
        <f>'Raw Enterprise Billing Data'!F104</f>
        <v/>
      </c>
      <c r="G104" s="15">
        <f>'Raw Enterprise Billing Data'!H104</f>
        <v/>
      </c>
      <c r="H104" s="13">
        <f>IF(COUNTIF($A$5:$A$499, A104)&gt;1, "⚠️ DUPLICATE", "UNIQUE")</f>
        <v/>
      </c>
      <c r="I104" s="14">
        <f>IF(OR(ISBLANK(D104), D104=""), "Unassigned", D104)</f>
        <v/>
      </c>
      <c r="J104" s="13">
        <f>IF(G104&lt;0, "CREDIT / ADJUSTMENT", "STANDARD USAGE")</f>
        <v/>
      </c>
    </row>
    <row r="105">
      <c r="A105" s="13">
        <f>'Raw Enterprise Billing Data'!A105</f>
        <v/>
      </c>
      <c r="B105" s="13">
        <f>'Raw Enterprise Billing Data'!B105</f>
        <v/>
      </c>
      <c r="C105" s="13">
        <f>'Raw Enterprise Billing Data'!C105</f>
        <v/>
      </c>
      <c r="D105" s="14">
        <f>'Raw Enterprise Billing Data'!D105</f>
        <v/>
      </c>
      <c r="E105" s="13">
        <f>'Raw Enterprise Billing Data'!E105</f>
        <v/>
      </c>
      <c r="F105" s="14">
        <f>'Raw Enterprise Billing Data'!F105</f>
        <v/>
      </c>
      <c r="G105" s="15">
        <f>'Raw Enterprise Billing Data'!H105</f>
        <v/>
      </c>
      <c r="H105" s="13">
        <f>IF(COUNTIF($A$5:$A$499, A105)&gt;1, "⚠️ DUPLICATE", "UNIQUE")</f>
        <v/>
      </c>
      <c r="I105" s="14">
        <f>IF(OR(ISBLANK(D105), D105=""), "Unassigned", D105)</f>
        <v/>
      </c>
      <c r="J105" s="13">
        <f>IF(G105&lt;0, "CREDIT / ADJUSTMENT", "STANDARD USAGE")</f>
        <v/>
      </c>
    </row>
    <row r="106">
      <c r="A106" s="13">
        <f>'Raw Enterprise Billing Data'!A106</f>
        <v/>
      </c>
      <c r="B106" s="13">
        <f>'Raw Enterprise Billing Data'!B106</f>
        <v/>
      </c>
      <c r="C106" s="13">
        <f>'Raw Enterprise Billing Data'!C106</f>
        <v/>
      </c>
      <c r="D106" s="14">
        <f>'Raw Enterprise Billing Data'!D106</f>
        <v/>
      </c>
      <c r="E106" s="13">
        <f>'Raw Enterprise Billing Data'!E106</f>
        <v/>
      </c>
      <c r="F106" s="14">
        <f>'Raw Enterprise Billing Data'!F106</f>
        <v/>
      </c>
      <c r="G106" s="15">
        <f>'Raw Enterprise Billing Data'!H106</f>
        <v/>
      </c>
      <c r="H106" s="13">
        <f>IF(COUNTIF($A$5:$A$499, A106)&gt;1, "⚠️ DUPLICATE", "UNIQUE")</f>
        <v/>
      </c>
      <c r="I106" s="14">
        <f>IF(OR(ISBLANK(D106), D106=""), "Unassigned", D106)</f>
        <v/>
      </c>
      <c r="J106" s="13">
        <f>IF(G106&lt;0, "CREDIT / ADJUSTMENT", "STANDARD USAGE")</f>
        <v/>
      </c>
    </row>
    <row r="107">
      <c r="A107" s="13">
        <f>'Raw Enterprise Billing Data'!A107</f>
        <v/>
      </c>
      <c r="B107" s="13">
        <f>'Raw Enterprise Billing Data'!B107</f>
        <v/>
      </c>
      <c r="C107" s="13">
        <f>'Raw Enterprise Billing Data'!C107</f>
        <v/>
      </c>
      <c r="D107" s="14">
        <f>'Raw Enterprise Billing Data'!D107</f>
        <v/>
      </c>
      <c r="E107" s="13">
        <f>'Raw Enterprise Billing Data'!E107</f>
        <v/>
      </c>
      <c r="F107" s="14">
        <f>'Raw Enterprise Billing Data'!F107</f>
        <v/>
      </c>
      <c r="G107" s="15">
        <f>'Raw Enterprise Billing Data'!H107</f>
        <v/>
      </c>
      <c r="H107" s="13">
        <f>IF(COUNTIF($A$5:$A$499, A107)&gt;1, "⚠️ DUPLICATE", "UNIQUE")</f>
        <v/>
      </c>
      <c r="I107" s="14">
        <f>IF(OR(ISBLANK(D107), D107=""), "Unassigned", D107)</f>
        <v/>
      </c>
      <c r="J107" s="13">
        <f>IF(G107&lt;0, "CREDIT / ADJUSTMENT", "STANDARD USAGE")</f>
        <v/>
      </c>
    </row>
    <row r="108">
      <c r="A108" s="13">
        <f>'Raw Enterprise Billing Data'!A108</f>
        <v/>
      </c>
      <c r="B108" s="13">
        <f>'Raw Enterprise Billing Data'!B108</f>
        <v/>
      </c>
      <c r="C108" s="13">
        <f>'Raw Enterprise Billing Data'!C108</f>
        <v/>
      </c>
      <c r="D108" s="14">
        <f>'Raw Enterprise Billing Data'!D108</f>
        <v/>
      </c>
      <c r="E108" s="13">
        <f>'Raw Enterprise Billing Data'!E108</f>
        <v/>
      </c>
      <c r="F108" s="14">
        <f>'Raw Enterprise Billing Data'!F108</f>
        <v/>
      </c>
      <c r="G108" s="15">
        <f>'Raw Enterprise Billing Data'!H108</f>
        <v/>
      </c>
      <c r="H108" s="13">
        <f>IF(COUNTIF($A$5:$A$499, A108)&gt;1, "⚠️ DUPLICATE", "UNIQUE")</f>
        <v/>
      </c>
      <c r="I108" s="14">
        <f>IF(OR(ISBLANK(D108), D108=""), "Unassigned", D108)</f>
        <v/>
      </c>
      <c r="J108" s="13">
        <f>IF(G108&lt;0, "CREDIT / ADJUSTMENT", "STANDARD USAGE")</f>
        <v/>
      </c>
    </row>
    <row r="109">
      <c r="A109" s="13">
        <f>'Raw Enterprise Billing Data'!A109</f>
        <v/>
      </c>
      <c r="B109" s="13">
        <f>'Raw Enterprise Billing Data'!B109</f>
        <v/>
      </c>
      <c r="C109" s="13">
        <f>'Raw Enterprise Billing Data'!C109</f>
        <v/>
      </c>
      <c r="D109" s="14">
        <f>'Raw Enterprise Billing Data'!D109</f>
        <v/>
      </c>
      <c r="E109" s="13">
        <f>'Raw Enterprise Billing Data'!E109</f>
        <v/>
      </c>
      <c r="F109" s="14">
        <f>'Raw Enterprise Billing Data'!F109</f>
        <v/>
      </c>
      <c r="G109" s="15">
        <f>'Raw Enterprise Billing Data'!H109</f>
        <v/>
      </c>
      <c r="H109" s="13">
        <f>IF(COUNTIF($A$5:$A$499, A109)&gt;1, "⚠️ DUPLICATE", "UNIQUE")</f>
        <v/>
      </c>
      <c r="I109" s="14">
        <f>IF(OR(ISBLANK(D109), D109=""), "Unassigned", D109)</f>
        <v/>
      </c>
      <c r="J109" s="13">
        <f>IF(G109&lt;0, "CREDIT / ADJUSTMENT", "STANDARD USAGE")</f>
        <v/>
      </c>
    </row>
    <row r="110">
      <c r="A110" s="13">
        <f>'Raw Enterprise Billing Data'!A110</f>
        <v/>
      </c>
      <c r="B110" s="13">
        <f>'Raw Enterprise Billing Data'!B110</f>
        <v/>
      </c>
      <c r="C110" s="13">
        <f>'Raw Enterprise Billing Data'!C110</f>
        <v/>
      </c>
      <c r="D110" s="14">
        <f>'Raw Enterprise Billing Data'!D110</f>
        <v/>
      </c>
      <c r="E110" s="13">
        <f>'Raw Enterprise Billing Data'!E110</f>
        <v/>
      </c>
      <c r="F110" s="14">
        <f>'Raw Enterprise Billing Data'!F110</f>
        <v/>
      </c>
      <c r="G110" s="15">
        <f>'Raw Enterprise Billing Data'!H110</f>
        <v/>
      </c>
      <c r="H110" s="13">
        <f>IF(COUNTIF($A$5:$A$499, A110)&gt;1, "⚠️ DUPLICATE", "UNIQUE")</f>
        <v/>
      </c>
      <c r="I110" s="14">
        <f>IF(OR(ISBLANK(D110), D110=""), "Unassigned", D110)</f>
        <v/>
      </c>
      <c r="J110" s="13">
        <f>IF(G110&lt;0, "CREDIT / ADJUSTMENT", "STANDARD USAGE")</f>
        <v/>
      </c>
    </row>
    <row r="111">
      <c r="A111" s="13">
        <f>'Raw Enterprise Billing Data'!A111</f>
        <v/>
      </c>
      <c r="B111" s="13">
        <f>'Raw Enterprise Billing Data'!B111</f>
        <v/>
      </c>
      <c r="C111" s="13">
        <f>'Raw Enterprise Billing Data'!C111</f>
        <v/>
      </c>
      <c r="D111" s="14">
        <f>'Raw Enterprise Billing Data'!D111</f>
        <v/>
      </c>
      <c r="E111" s="13">
        <f>'Raw Enterprise Billing Data'!E111</f>
        <v/>
      </c>
      <c r="F111" s="14">
        <f>'Raw Enterprise Billing Data'!F111</f>
        <v/>
      </c>
      <c r="G111" s="15">
        <f>'Raw Enterprise Billing Data'!H111</f>
        <v/>
      </c>
      <c r="H111" s="13">
        <f>IF(COUNTIF($A$5:$A$499, A111)&gt;1, "⚠️ DUPLICATE", "UNIQUE")</f>
        <v/>
      </c>
      <c r="I111" s="14">
        <f>IF(OR(ISBLANK(D111), D111=""), "Unassigned", D111)</f>
        <v/>
      </c>
      <c r="J111" s="13">
        <f>IF(G111&lt;0, "CREDIT / ADJUSTMENT", "STANDARD USAGE")</f>
        <v/>
      </c>
    </row>
    <row r="112">
      <c r="A112" s="13">
        <f>'Raw Enterprise Billing Data'!A112</f>
        <v/>
      </c>
      <c r="B112" s="13">
        <f>'Raw Enterprise Billing Data'!B112</f>
        <v/>
      </c>
      <c r="C112" s="13">
        <f>'Raw Enterprise Billing Data'!C112</f>
        <v/>
      </c>
      <c r="D112" s="14">
        <f>'Raw Enterprise Billing Data'!D112</f>
        <v/>
      </c>
      <c r="E112" s="13">
        <f>'Raw Enterprise Billing Data'!E112</f>
        <v/>
      </c>
      <c r="F112" s="14">
        <f>'Raw Enterprise Billing Data'!F112</f>
        <v/>
      </c>
      <c r="G112" s="15">
        <f>'Raw Enterprise Billing Data'!H112</f>
        <v/>
      </c>
      <c r="H112" s="13">
        <f>IF(COUNTIF($A$5:$A$499, A112)&gt;1, "⚠️ DUPLICATE", "UNIQUE")</f>
        <v/>
      </c>
      <c r="I112" s="14">
        <f>IF(OR(ISBLANK(D112), D112=""), "Unassigned", D112)</f>
        <v/>
      </c>
      <c r="J112" s="13">
        <f>IF(G112&lt;0, "CREDIT / ADJUSTMENT", "STANDARD USAGE")</f>
        <v/>
      </c>
    </row>
    <row r="113">
      <c r="A113" s="13">
        <f>'Raw Enterprise Billing Data'!A113</f>
        <v/>
      </c>
      <c r="B113" s="13">
        <f>'Raw Enterprise Billing Data'!B113</f>
        <v/>
      </c>
      <c r="C113" s="13">
        <f>'Raw Enterprise Billing Data'!C113</f>
        <v/>
      </c>
      <c r="D113" s="14">
        <f>'Raw Enterprise Billing Data'!D113</f>
        <v/>
      </c>
      <c r="E113" s="13">
        <f>'Raw Enterprise Billing Data'!E113</f>
        <v/>
      </c>
      <c r="F113" s="14">
        <f>'Raw Enterprise Billing Data'!F113</f>
        <v/>
      </c>
      <c r="G113" s="15">
        <f>'Raw Enterprise Billing Data'!H113</f>
        <v/>
      </c>
      <c r="H113" s="13">
        <f>IF(COUNTIF($A$5:$A$499, A113)&gt;1, "⚠️ DUPLICATE", "UNIQUE")</f>
        <v/>
      </c>
      <c r="I113" s="14">
        <f>IF(OR(ISBLANK(D113), D113=""), "Unassigned", D113)</f>
        <v/>
      </c>
      <c r="J113" s="13">
        <f>IF(G113&lt;0, "CREDIT / ADJUSTMENT", "STANDARD USAGE")</f>
        <v/>
      </c>
    </row>
    <row r="114">
      <c r="A114" s="13">
        <f>'Raw Enterprise Billing Data'!A114</f>
        <v/>
      </c>
      <c r="B114" s="13">
        <f>'Raw Enterprise Billing Data'!B114</f>
        <v/>
      </c>
      <c r="C114" s="13">
        <f>'Raw Enterprise Billing Data'!C114</f>
        <v/>
      </c>
      <c r="D114" s="14">
        <f>'Raw Enterprise Billing Data'!D114</f>
        <v/>
      </c>
      <c r="E114" s="13">
        <f>'Raw Enterprise Billing Data'!E114</f>
        <v/>
      </c>
      <c r="F114" s="14">
        <f>'Raw Enterprise Billing Data'!F114</f>
        <v/>
      </c>
      <c r="G114" s="15">
        <f>'Raw Enterprise Billing Data'!H114</f>
        <v/>
      </c>
      <c r="H114" s="13">
        <f>IF(COUNTIF($A$5:$A$499, A114)&gt;1, "⚠️ DUPLICATE", "UNIQUE")</f>
        <v/>
      </c>
      <c r="I114" s="14">
        <f>IF(OR(ISBLANK(D114), D114=""), "Unassigned", D114)</f>
        <v/>
      </c>
      <c r="J114" s="13">
        <f>IF(G114&lt;0, "CREDIT / ADJUSTMENT", "STANDARD USAGE")</f>
        <v/>
      </c>
    </row>
    <row r="115">
      <c r="A115" s="13">
        <f>'Raw Enterprise Billing Data'!A115</f>
        <v/>
      </c>
      <c r="B115" s="13">
        <f>'Raw Enterprise Billing Data'!B115</f>
        <v/>
      </c>
      <c r="C115" s="13">
        <f>'Raw Enterprise Billing Data'!C115</f>
        <v/>
      </c>
      <c r="D115" s="14">
        <f>'Raw Enterprise Billing Data'!D115</f>
        <v/>
      </c>
      <c r="E115" s="13">
        <f>'Raw Enterprise Billing Data'!E115</f>
        <v/>
      </c>
      <c r="F115" s="14">
        <f>'Raw Enterprise Billing Data'!F115</f>
        <v/>
      </c>
      <c r="G115" s="15">
        <f>'Raw Enterprise Billing Data'!H115</f>
        <v/>
      </c>
      <c r="H115" s="13">
        <f>IF(COUNTIF($A$5:$A$499, A115)&gt;1, "⚠️ DUPLICATE", "UNIQUE")</f>
        <v/>
      </c>
      <c r="I115" s="14">
        <f>IF(OR(ISBLANK(D115), D115=""), "Unassigned", D115)</f>
        <v/>
      </c>
      <c r="J115" s="13">
        <f>IF(G115&lt;0, "CREDIT / ADJUSTMENT", "STANDARD USAGE")</f>
        <v/>
      </c>
    </row>
    <row r="116">
      <c r="A116" s="13">
        <f>'Raw Enterprise Billing Data'!A116</f>
        <v/>
      </c>
      <c r="B116" s="13">
        <f>'Raw Enterprise Billing Data'!B116</f>
        <v/>
      </c>
      <c r="C116" s="13">
        <f>'Raw Enterprise Billing Data'!C116</f>
        <v/>
      </c>
      <c r="D116" s="14">
        <f>'Raw Enterprise Billing Data'!D116</f>
        <v/>
      </c>
      <c r="E116" s="13">
        <f>'Raw Enterprise Billing Data'!E116</f>
        <v/>
      </c>
      <c r="F116" s="14">
        <f>'Raw Enterprise Billing Data'!F116</f>
        <v/>
      </c>
      <c r="G116" s="15">
        <f>'Raw Enterprise Billing Data'!H116</f>
        <v/>
      </c>
      <c r="H116" s="13">
        <f>IF(COUNTIF($A$5:$A$499, A116)&gt;1, "⚠️ DUPLICATE", "UNIQUE")</f>
        <v/>
      </c>
      <c r="I116" s="14">
        <f>IF(OR(ISBLANK(D116), D116=""), "Unassigned", D116)</f>
        <v/>
      </c>
      <c r="J116" s="13">
        <f>IF(G116&lt;0, "CREDIT / ADJUSTMENT", "STANDARD USAGE")</f>
        <v/>
      </c>
    </row>
    <row r="117">
      <c r="A117" s="13">
        <f>'Raw Enterprise Billing Data'!A117</f>
        <v/>
      </c>
      <c r="B117" s="13">
        <f>'Raw Enterprise Billing Data'!B117</f>
        <v/>
      </c>
      <c r="C117" s="13">
        <f>'Raw Enterprise Billing Data'!C117</f>
        <v/>
      </c>
      <c r="D117" s="14">
        <f>'Raw Enterprise Billing Data'!D117</f>
        <v/>
      </c>
      <c r="E117" s="13">
        <f>'Raw Enterprise Billing Data'!E117</f>
        <v/>
      </c>
      <c r="F117" s="14">
        <f>'Raw Enterprise Billing Data'!F117</f>
        <v/>
      </c>
      <c r="G117" s="15">
        <f>'Raw Enterprise Billing Data'!H117</f>
        <v/>
      </c>
      <c r="H117" s="13">
        <f>IF(COUNTIF($A$5:$A$499, A117)&gt;1, "⚠️ DUPLICATE", "UNIQUE")</f>
        <v/>
      </c>
      <c r="I117" s="14">
        <f>IF(OR(ISBLANK(D117), D117=""), "Unassigned", D117)</f>
        <v/>
      </c>
      <c r="J117" s="13">
        <f>IF(G117&lt;0, "CREDIT / ADJUSTMENT", "STANDARD USAGE")</f>
        <v/>
      </c>
    </row>
    <row r="118">
      <c r="A118" s="13">
        <f>'Raw Enterprise Billing Data'!A118</f>
        <v/>
      </c>
      <c r="B118" s="13">
        <f>'Raw Enterprise Billing Data'!B118</f>
        <v/>
      </c>
      <c r="C118" s="13">
        <f>'Raw Enterprise Billing Data'!C118</f>
        <v/>
      </c>
      <c r="D118" s="14">
        <f>'Raw Enterprise Billing Data'!D118</f>
        <v/>
      </c>
      <c r="E118" s="13">
        <f>'Raw Enterprise Billing Data'!E118</f>
        <v/>
      </c>
      <c r="F118" s="14">
        <f>'Raw Enterprise Billing Data'!F118</f>
        <v/>
      </c>
      <c r="G118" s="15">
        <f>'Raw Enterprise Billing Data'!H118</f>
        <v/>
      </c>
      <c r="H118" s="13">
        <f>IF(COUNTIF($A$5:$A$499, A118)&gt;1, "⚠️ DUPLICATE", "UNIQUE")</f>
        <v/>
      </c>
      <c r="I118" s="14">
        <f>IF(OR(ISBLANK(D118), D118=""), "Unassigned", D118)</f>
        <v/>
      </c>
      <c r="J118" s="13">
        <f>IF(G118&lt;0, "CREDIT / ADJUSTMENT", "STANDARD USAGE")</f>
        <v/>
      </c>
    </row>
    <row r="119">
      <c r="A119" s="13">
        <f>'Raw Enterprise Billing Data'!A119</f>
        <v/>
      </c>
      <c r="B119" s="13">
        <f>'Raw Enterprise Billing Data'!B119</f>
        <v/>
      </c>
      <c r="C119" s="13">
        <f>'Raw Enterprise Billing Data'!C119</f>
        <v/>
      </c>
      <c r="D119" s="14">
        <f>'Raw Enterprise Billing Data'!D119</f>
        <v/>
      </c>
      <c r="E119" s="13">
        <f>'Raw Enterprise Billing Data'!E119</f>
        <v/>
      </c>
      <c r="F119" s="14">
        <f>'Raw Enterprise Billing Data'!F119</f>
        <v/>
      </c>
      <c r="G119" s="15">
        <f>'Raw Enterprise Billing Data'!H119</f>
        <v/>
      </c>
      <c r="H119" s="13">
        <f>IF(COUNTIF($A$5:$A$499, A119)&gt;1, "⚠️ DUPLICATE", "UNIQUE")</f>
        <v/>
      </c>
      <c r="I119" s="14">
        <f>IF(OR(ISBLANK(D119), D119=""), "Unassigned", D119)</f>
        <v/>
      </c>
      <c r="J119" s="13">
        <f>IF(G119&lt;0, "CREDIT / ADJUSTMENT", "STANDARD USAGE")</f>
        <v/>
      </c>
    </row>
    <row r="120">
      <c r="A120" s="13">
        <f>'Raw Enterprise Billing Data'!A120</f>
        <v/>
      </c>
      <c r="B120" s="13">
        <f>'Raw Enterprise Billing Data'!B120</f>
        <v/>
      </c>
      <c r="C120" s="13">
        <f>'Raw Enterprise Billing Data'!C120</f>
        <v/>
      </c>
      <c r="D120" s="14">
        <f>'Raw Enterprise Billing Data'!D120</f>
        <v/>
      </c>
      <c r="E120" s="13">
        <f>'Raw Enterprise Billing Data'!E120</f>
        <v/>
      </c>
      <c r="F120" s="14">
        <f>'Raw Enterprise Billing Data'!F120</f>
        <v/>
      </c>
      <c r="G120" s="15">
        <f>'Raw Enterprise Billing Data'!H120</f>
        <v/>
      </c>
      <c r="H120" s="13">
        <f>IF(COUNTIF($A$5:$A$499, A120)&gt;1, "⚠️ DUPLICATE", "UNIQUE")</f>
        <v/>
      </c>
      <c r="I120" s="14">
        <f>IF(OR(ISBLANK(D120), D120=""), "Unassigned", D120)</f>
        <v/>
      </c>
      <c r="J120" s="13">
        <f>IF(G120&lt;0, "CREDIT / ADJUSTMENT", "STANDARD USAGE")</f>
        <v/>
      </c>
    </row>
    <row r="121">
      <c r="A121" s="13">
        <f>'Raw Enterprise Billing Data'!A121</f>
        <v/>
      </c>
      <c r="B121" s="13">
        <f>'Raw Enterprise Billing Data'!B121</f>
        <v/>
      </c>
      <c r="C121" s="13">
        <f>'Raw Enterprise Billing Data'!C121</f>
        <v/>
      </c>
      <c r="D121" s="14">
        <f>'Raw Enterprise Billing Data'!D121</f>
        <v/>
      </c>
      <c r="E121" s="13">
        <f>'Raw Enterprise Billing Data'!E121</f>
        <v/>
      </c>
      <c r="F121" s="14">
        <f>'Raw Enterprise Billing Data'!F121</f>
        <v/>
      </c>
      <c r="G121" s="15">
        <f>'Raw Enterprise Billing Data'!H121</f>
        <v/>
      </c>
      <c r="H121" s="13">
        <f>IF(COUNTIF($A$5:$A$499, A121)&gt;1, "⚠️ DUPLICATE", "UNIQUE")</f>
        <v/>
      </c>
      <c r="I121" s="14">
        <f>IF(OR(ISBLANK(D121), D121=""), "Unassigned", D121)</f>
        <v/>
      </c>
      <c r="J121" s="13">
        <f>IF(G121&lt;0, "CREDIT / ADJUSTMENT", "STANDARD USAGE")</f>
        <v/>
      </c>
    </row>
    <row r="122">
      <c r="A122" s="13">
        <f>'Raw Enterprise Billing Data'!A122</f>
        <v/>
      </c>
      <c r="B122" s="13">
        <f>'Raw Enterprise Billing Data'!B122</f>
        <v/>
      </c>
      <c r="C122" s="13">
        <f>'Raw Enterprise Billing Data'!C122</f>
        <v/>
      </c>
      <c r="D122" s="14">
        <f>'Raw Enterprise Billing Data'!D122</f>
        <v/>
      </c>
      <c r="E122" s="13">
        <f>'Raw Enterprise Billing Data'!E122</f>
        <v/>
      </c>
      <c r="F122" s="14">
        <f>'Raw Enterprise Billing Data'!F122</f>
        <v/>
      </c>
      <c r="G122" s="15">
        <f>'Raw Enterprise Billing Data'!H122</f>
        <v/>
      </c>
      <c r="H122" s="13">
        <f>IF(COUNTIF($A$5:$A$499, A122)&gt;1, "⚠️ DUPLICATE", "UNIQUE")</f>
        <v/>
      </c>
      <c r="I122" s="14">
        <f>IF(OR(ISBLANK(D122), D122=""), "Unassigned", D122)</f>
        <v/>
      </c>
      <c r="J122" s="13">
        <f>IF(G122&lt;0, "CREDIT / ADJUSTMENT", "STANDARD USAGE")</f>
        <v/>
      </c>
    </row>
    <row r="123">
      <c r="A123" s="13">
        <f>'Raw Enterprise Billing Data'!A123</f>
        <v/>
      </c>
      <c r="B123" s="13">
        <f>'Raw Enterprise Billing Data'!B123</f>
        <v/>
      </c>
      <c r="C123" s="13">
        <f>'Raw Enterprise Billing Data'!C123</f>
        <v/>
      </c>
      <c r="D123" s="14">
        <f>'Raw Enterprise Billing Data'!D123</f>
        <v/>
      </c>
      <c r="E123" s="13">
        <f>'Raw Enterprise Billing Data'!E123</f>
        <v/>
      </c>
      <c r="F123" s="14">
        <f>'Raw Enterprise Billing Data'!F123</f>
        <v/>
      </c>
      <c r="G123" s="15">
        <f>'Raw Enterprise Billing Data'!H123</f>
        <v/>
      </c>
      <c r="H123" s="13">
        <f>IF(COUNTIF($A$5:$A$499, A123)&gt;1, "⚠️ DUPLICATE", "UNIQUE")</f>
        <v/>
      </c>
      <c r="I123" s="14">
        <f>IF(OR(ISBLANK(D123), D123=""), "Unassigned", D123)</f>
        <v/>
      </c>
      <c r="J123" s="13">
        <f>IF(G123&lt;0, "CREDIT / ADJUSTMENT", "STANDARD USAGE")</f>
        <v/>
      </c>
    </row>
    <row r="124">
      <c r="A124" s="13">
        <f>'Raw Enterprise Billing Data'!A124</f>
        <v/>
      </c>
      <c r="B124" s="13">
        <f>'Raw Enterprise Billing Data'!B124</f>
        <v/>
      </c>
      <c r="C124" s="13">
        <f>'Raw Enterprise Billing Data'!C124</f>
        <v/>
      </c>
      <c r="D124" s="14">
        <f>'Raw Enterprise Billing Data'!D124</f>
        <v/>
      </c>
      <c r="E124" s="13">
        <f>'Raw Enterprise Billing Data'!E124</f>
        <v/>
      </c>
      <c r="F124" s="14">
        <f>'Raw Enterprise Billing Data'!F124</f>
        <v/>
      </c>
      <c r="G124" s="15">
        <f>'Raw Enterprise Billing Data'!H124</f>
        <v/>
      </c>
      <c r="H124" s="13">
        <f>IF(COUNTIF($A$5:$A$499, A124)&gt;1, "⚠️ DUPLICATE", "UNIQUE")</f>
        <v/>
      </c>
      <c r="I124" s="14">
        <f>IF(OR(ISBLANK(D124), D124=""), "Unassigned", D124)</f>
        <v/>
      </c>
      <c r="J124" s="13">
        <f>IF(G124&lt;0, "CREDIT / ADJUSTMENT", "STANDARD USAGE")</f>
        <v/>
      </c>
    </row>
    <row r="125">
      <c r="A125" s="13">
        <f>'Raw Enterprise Billing Data'!A125</f>
        <v/>
      </c>
      <c r="B125" s="13">
        <f>'Raw Enterprise Billing Data'!B125</f>
        <v/>
      </c>
      <c r="C125" s="13">
        <f>'Raw Enterprise Billing Data'!C125</f>
        <v/>
      </c>
      <c r="D125" s="14">
        <f>'Raw Enterprise Billing Data'!D125</f>
        <v/>
      </c>
      <c r="E125" s="13">
        <f>'Raw Enterprise Billing Data'!E125</f>
        <v/>
      </c>
      <c r="F125" s="14">
        <f>'Raw Enterprise Billing Data'!F125</f>
        <v/>
      </c>
      <c r="G125" s="15">
        <f>'Raw Enterprise Billing Data'!H125</f>
        <v/>
      </c>
      <c r="H125" s="13">
        <f>IF(COUNTIF($A$5:$A$499, A125)&gt;1, "⚠️ DUPLICATE", "UNIQUE")</f>
        <v/>
      </c>
      <c r="I125" s="14">
        <f>IF(OR(ISBLANK(D125), D125=""), "Unassigned", D125)</f>
        <v/>
      </c>
      <c r="J125" s="13">
        <f>IF(G125&lt;0, "CREDIT / ADJUSTMENT", "STANDARD USAGE")</f>
        <v/>
      </c>
    </row>
    <row r="126">
      <c r="A126" s="13">
        <f>'Raw Enterprise Billing Data'!A126</f>
        <v/>
      </c>
      <c r="B126" s="13">
        <f>'Raw Enterprise Billing Data'!B126</f>
        <v/>
      </c>
      <c r="C126" s="13">
        <f>'Raw Enterprise Billing Data'!C126</f>
        <v/>
      </c>
      <c r="D126" s="14">
        <f>'Raw Enterprise Billing Data'!D126</f>
        <v/>
      </c>
      <c r="E126" s="13">
        <f>'Raw Enterprise Billing Data'!E126</f>
        <v/>
      </c>
      <c r="F126" s="14">
        <f>'Raw Enterprise Billing Data'!F126</f>
        <v/>
      </c>
      <c r="G126" s="15">
        <f>'Raw Enterprise Billing Data'!H126</f>
        <v/>
      </c>
      <c r="H126" s="13">
        <f>IF(COUNTIF($A$5:$A$499, A126)&gt;1, "⚠️ DUPLICATE", "UNIQUE")</f>
        <v/>
      </c>
      <c r="I126" s="14">
        <f>IF(OR(ISBLANK(D126), D126=""), "Unassigned", D126)</f>
        <v/>
      </c>
      <c r="J126" s="13">
        <f>IF(G126&lt;0, "CREDIT / ADJUSTMENT", "STANDARD USAGE")</f>
        <v/>
      </c>
    </row>
    <row r="127">
      <c r="A127" s="13">
        <f>'Raw Enterprise Billing Data'!A127</f>
        <v/>
      </c>
      <c r="B127" s="13">
        <f>'Raw Enterprise Billing Data'!B127</f>
        <v/>
      </c>
      <c r="C127" s="13">
        <f>'Raw Enterprise Billing Data'!C127</f>
        <v/>
      </c>
      <c r="D127" s="14">
        <f>'Raw Enterprise Billing Data'!D127</f>
        <v/>
      </c>
      <c r="E127" s="13">
        <f>'Raw Enterprise Billing Data'!E127</f>
        <v/>
      </c>
      <c r="F127" s="14">
        <f>'Raw Enterprise Billing Data'!F127</f>
        <v/>
      </c>
      <c r="G127" s="15">
        <f>'Raw Enterprise Billing Data'!H127</f>
        <v/>
      </c>
      <c r="H127" s="13">
        <f>IF(COUNTIF($A$5:$A$499, A127)&gt;1, "⚠️ DUPLICATE", "UNIQUE")</f>
        <v/>
      </c>
      <c r="I127" s="14">
        <f>IF(OR(ISBLANK(D127), D127=""), "Unassigned", D127)</f>
        <v/>
      </c>
      <c r="J127" s="13">
        <f>IF(G127&lt;0, "CREDIT / ADJUSTMENT", "STANDARD USAGE")</f>
        <v/>
      </c>
    </row>
    <row r="128">
      <c r="A128" s="13">
        <f>'Raw Enterprise Billing Data'!A128</f>
        <v/>
      </c>
      <c r="B128" s="13">
        <f>'Raw Enterprise Billing Data'!B128</f>
        <v/>
      </c>
      <c r="C128" s="13">
        <f>'Raw Enterprise Billing Data'!C128</f>
        <v/>
      </c>
      <c r="D128" s="14">
        <f>'Raw Enterprise Billing Data'!D128</f>
        <v/>
      </c>
      <c r="E128" s="13">
        <f>'Raw Enterprise Billing Data'!E128</f>
        <v/>
      </c>
      <c r="F128" s="14">
        <f>'Raw Enterprise Billing Data'!F128</f>
        <v/>
      </c>
      <c r="G128" s="15">
        <f>'Raw Enterprise Billing Data'!H128</f>
        <v/>
      </c>
      <c r="H128" s="13">
        <f>IF(COUNTIF($A$5:$A$499, A128)&gt;1, "⚠️ DUPLICATE", "UNIQUE")</f>
        <v/>
      </c>
      <c r="I128" s="14">
        <f>IF(OR(ISBLANK(D128), D128=""), "Unassigned", D128)</f>
        <v/>
      </c>
      <c r="J128" s="13">
        <f>IF(G128&lt;0, "CREDIT / ADJUSTMENT", "STANDARD USAGE")</f>
        <v/>
      </c>
    </row>
    <row r="129">
      <c r="A129" s="13">
        <f>'Raw Enterprise Billing Data'!A129</f>
        <v/>
      </c>
      <c r="B129" s="13">
        <f>'Raw Enterprise Billing Data'!B129</f>
        <v/>
      </c>
      <c r="C129" s="13">
        <f>'Raw Enterprise Billing Data'!C129</f>
        <v/>
      </c>
      <c r="D129" s="14">
        <f>'Raw Enterprise Billing Data'!D129</f>
        <v/>
      </c>
      <c r="E129" s="13">
        <f>'Raw Enterprise Billing Data'!E129</f>
        <v/>
      </c>
      <c r="F129" s="14">
        <f>'Raw Enterprise Billing Data'!F129</f>
        <v/>
      </c>
      <c r="G129" s="15">
        <f>'Raw Enterprise Billing Data'!H129</f>
        <v/>
      </c>
      <c r="H129" s="13">
        <f>IF(COUNTIF($A$5:$A$499, A129)&gt;1, "⚠️ DUPLICATE", "UNIQUE")</f>
        <v/>
      </c>
      <c r="I129" s="14">
        <f>IF(OR(ISBLANK(D129), D129=""), "Unassigned", D129)</f>
        <v/>
      </c>
      <c r="J129" s="13">
        <f>IF(G129&lt;0, "CREDIT / ADJUSTMENT", "STANDARD USAGE")</f>
        <v/>
      </c>
    </row>
    <row r="130">
      <c r="A130" s="13">
        <f>'Raw Enterprise Billing Data'!A130</f>
        <v/>
      </c>
      <c r="B130" s="13">
        <f>'Raw Enterprise Billing Data'!B130</f>
        <v/>
      </c>
      <c r="C130" s="13">
        <f>'Raw Enterprise Billing Data'!C130</f>
        <v/>
      </c>
      <c r="D130" s="14">
        <f>'Raw Enterprise Billing Data'!D130</f>
        <v/>
      </c>
      <c r="E130" s="13">
        <f>'Raw Enterprise Billing Data'!E130</f>
        <v/>
      </c>
      <c r="F130" s="14">
        <f>'Raw Enterprise Billing Data'!F130</f>
        <v/>
      </c>
      <c r="G130" s="15">
        <f>'Raw Enterprise Billing Data'!H130</f>
        <v/>
      </c>
      <c r="H130" s="13">
        <f>IF(COUNTIF($A$5:$A$499, A130)&gt;1, "⚠️ DUPLICATE", "UNIQUE")</f>
        <v/>
      </c>
      <c r="I130" s="14">
        <f>IF(OR(ISBLANK(D130), D130=""), "Unassigned", D130)</f>
        <v/>
      </c>
      <c r="J130" s="13">
        <f>IF(G130&lt;0, "CREDIT / ADJUSTMENT", "STANDARD USAGE")</f>
        <v/>
      </c>
    </row>
    <row r="131">
      <c r="A131" s="13">
        <f>'Raw Enterprise Billing Data'!A131</f>
        <v/>
      </c>
      <c r="B131" s="13">
        <f>'Raw Enterprise Billing Data'!B131</f>
        <v/>
      </c>
      <c r="C131" s="13">
        <f>'Raw Enterprise Billing Data'!C131</f>
        <v/>
      </c>
      <c r="D131" s="14">
        <f>'Raw Enterprise Billing Data'!D131</f>
        <v/>
      </c>
      <c r="E131" s="13">
        <f>'Raw Enterprise Billing Data'!E131</f>
        <v/>
      </c>
      <c r="F131" s="14">
        <f>'Raw Enterprise Billing Data'!F131</f>
        <v/>
      </c>
      <c r="G131" s="15">
        <f>'Raw Enterprise Billing Data'!H131</f>
        <v/>
      </c>
      <c r="H131" s="13">
        <f>IF(COUNTIF($A$5:$A$499, A131)&gt;1, "⚠️ DUPLICATE", "UNIQUE")</f>
        <v/>
      </c>
      <c r="I131" s="14">
        <f>IF(OR(ISBLANK(D131), D131=""), "Unassigned", D131)</f>
        <v/>
      </c>
      <c r="J131" s="13">
        <f>IF(G131&lt;0, "CREDIT / ADJUSTMENT", "STANDARD USAGE")</f>
        <v/>
      </c>
    </row>
    <row r="132">
      <c r="A132" s="13">
        <f>'Raw Enterprise Billing Data'!A132</f>
        <v/>
      </c>
      <c r="B132" s="13">
        <f>'Raw Enterprise Billing Data'!B132</f>
        <v/>
      </c>
      <c r="C132" s="13">
        <f>'Raw Enterprise Billing Data'!C132</f>
        <v/>
      </c>
      <c r="D132" s="14">
        <f>'Raw Enterprise Billing Data'!D132</f>
        <v/>
      </c>
      <c r="E132" s="13">
        <f>'Raw Enterprise Billing Data'!E132</f>
        <v/>
      </c>
      <c r="F132" s="14">
        <f>'Raw Enterprise Billing Data'!F132</f>
        <v/>
      </c>
      <c r="G132" s="15">
        <f>'Raw Enterprise Billing Data'!H132</f>
        <v/>
      </c>
      <c r="H132" s="13">
        <f>IF(COUNTIF($A$5:$A$499, A132)&gt;1, "⚠️ DUPLICATE", "UNIQUE")</f>
        <v/>
      </c>
      <c r="I132" s="14">
        <f>IF(OR(ISBLANK(D132), D132=""), "Unassigned", D132)</f>
        <v/>
      </c>
      <c r="J132" s="13">
        <f>IF(G132&lt;0, "CREDIT / ADJUSTMENT", "STANDARD USAGE")</f>
        <v/>
      </c>
    </row>
    <row r="133">
      <c r="A133" s="13">
        <f>'Raw Enterprise Billing Data'!A133</f>
        <v/>
      </c>
      <c r="B133" s="13">
        <f>'Raw Enterprise Billing Data'!B133</f>
        <v/>
      </c>
      <c r="C133" s="13">
        <f>'Raw Enterprise Billing Data'!C133</f>
        <v/>
      </c>
      <c r="D133" s="14">
        <f>'Raw Enterprise Billing Data'!D133</f>
        <v/>
      </c>
      <c r="E133" s="13">
        <f>'Raw Enterprise Billing Data'!E133</f>
        <v/>
      </c>
      <c r="F133" s="14">
        <f>'Raw Enterprise Billing Data'!F133</f>
        <v/>
      </c>
      <c r="G133" s="15">
        <f>'Raw Enterprise Billing Data'!H133</f>
        <v/>
      </c>
      <c r="H133" s="13">
        <f>IF(COUNTIF($A$5:$A$499, A133)&gt;1, "⚠️ DUPLICATE", "UNIQUE")</f>
        <v/>
      </c>
      <c r="I133" s="14">
        <f>IF(OR(ISBLANK(D133), D133=""), "Unassigned", D133)</f>
        <v/>
      </c>
      <c r="J133" s="13">
        <f>IF(G133&lt;0, "CREDIT / ADJUSTMENT", "STANDARD USAGE")</f>
        <v/>
      </c>
    </row>
    <row r="134">
      <c r="A134" s="13">
        <f>'Raw Enterprise Billing Data'!A134</f>
        <v/>
      </c>
      <c r="B134" s="13">
        <f>'Raw Enterprise Billing Data'!B134</f>
        <v/>
      </c>
      <c r="C134" s="13">
        <f>'Raw Enterprise Billing Data'!C134</f>
        <v/>
      </c>
      <c r="D134" s="14">
        <f>'Raw Enterprise Billing Data'!D134</f>
        <v/>
      </c>
      <c r="E134" s="13">
        <f>'Raw Enterprise Billing Data'!E134</f>
        <v/>
      </c>
      <c r="F134" s="14">
        <f>'Raw Enterprise Billing Data'!F134</f>
        <v/>
      </c>
      <c r="G134" s="15">
        <f>'Raw Enterprise Billing Data'!H134</f>
        <v/>
      </c>
      <c r="H134" s="13">
        <f>IF(COUNTIF($A$5:$A$499, A134)&gt;1, "⚠️ DUPLICATE", "UNIQUE")</f>
        <v/>
      </c>
      <c r="I134" s="14">
        <f>IF(OR(ISBLANK(D134), D134=""), "Unassigned", D134)</f>
        <v/>
      </c>
      <c r="J134" s="13">
        <f>IF(G134&lt;0, "CREDIT / ADJUSTMENT", "STANDARD USAGE")</f>
        <v/>
      </c>
    </row>
    <row r="135">
      <c r="A135" s="13">
        <f>'Raw Enterprise Billing Data'!A135</f>
        <v/>
      </c>
      <c r="B135" s="13">
        <f>'Raw Enterprise Billing Data'!B135</f>
        <v/>
      </c>
      <c r="C135" s="13">
        <f>'Raw Enterprise Billing Data'!C135</f>
        <v/>
      </c>
      <c r="D135" s="14">
        <f>'Raw Enterprise Billing Data'!D135</f>
        <v/>
      </c>
      <c r="E135" s="13">
        <f>'Raw Enterprise Billing Data'!E135</f>
        <v/>
      </c>
      <c r="F135" s="14">
        <f>'Raw Enterprise Billing Data'!F135</f>
        <v/>
      </c>
      <c r="G135" s="15">
        <f>'Raw Enterprise Billing Data'!H135</f>
        <v/>
      </c>
      <c r="H135" s="13">
        <f>IF(COUNTIF($A$5:$A$499, A135)&gt;1, "⚠️ DUPLICATE", "UNIQUE")</f>
        <v/>
      </c>
      <c r="I135" s="14">
        <f>IF(OR(ISBLANK(D135), D135=""), "Unassigned", D135)</f>
        <v/>
      </c>
      <c r="J135" s="13">
        <f>IF(G135&lt;0, "CREDIT / ADJUSTMENT", "STANDARD USAGE")</f>
        <v/>
      </c>
    </row>
    <row r="136">
      <c r="A136" s="13">
        <f>'Raw Enterprise Billing Data'!A136</f>
        <v/>
      </c>
      <c r="B136" s="13">
        <f>'Raw Enterprise Billing Data'!B136</f>
        <v/>
      </c>
      <c r="C136" s="13">
        <f>'Raw Enterprise Billing Data'!C136</f>
        <v/>
      </c>
      <c r="D136" s="14">
        <f>'Raw Enterprise Billing Data'!D136</f>
        <v/>
      </c>
      <c r="E136" s="13">
        <f>'Raw Enterprise Billing Data'!E136</f>
        <v/>
      </c>
      <c r="F136" s="14">
        <f>'Raw Enterprise Billing Data'!F136</f>
        <v/>
      </c>
      <c r="G136" s="15">
        <f>'Raw Enterprise Billing Data'!H136</f>
        <v/>
      </c>
      <c r="H136" s="13">
        <f>IF(COUNTIF($A$5:$A$499, A136)&gt;1, "⚠️ DUPLICATE", "UNIQUE")</f>
        <v/>
      </c>
      <c r="I136" s="14">
        <f>IF(OR(ISBLANK(D136), D136=""), "Unassigned", D136)</f>
        <v/>
      </c>
      <c r="J136" s="13">
        <f>IF(G136&lt;0, "CREDIT / ADJUSTMENT", "STANDARD USAGE")</f>
        <v/>
      </c>
    </row>
    <row r="137">
      <c r="A137" s="13">
        <f>'Raw Enterprise Billing Data'!A137</f>
        <v/>
      </c>
      <c r="B137" s="13">
        <f>'Raw Enterprise Billing Data'!B137</f>
        <v/>
      </c>
      <c r="C137" s="13">
        <f>'Raw Enterprise Billing Data'!C137</f>
        <v/>
      </c>
      <c r="D137" s="14">
        <f>'Raw Enterprise Billing Data'!D137</f>
        <v/>
      </c>
      <c r="E137" s="13">
        <f>'Raw Enterprise Billing Data'!E137</f>
        <v/>
      </c>
      <c r="F137" s="14">
        <f>'Raw Enterprise Billing Data'!F137</f>
        <v/>
      </c>
      <c r="G137" s="15">
        <f>'Raw Enterprise Billing Data'!H137</f>
        <v/>
      </c>
      <c r="H137" s="13">
        <f>IF(COUNTIF($A$5:$A$499, A137)&gt;1, "⚠️ DUPLICATE", "UNIQUE")</f>
        <v/>
      </c>
      <c r="I137" s="14">
        <f>IF(OR(ISBLANK(D137), D137=""), "Unassigned", D137)</f>
        <v/>
      </c>
      <c r="J137" s="13">
        <f>IF(G137&lt;0, "CREDIT / ADJUSTMENT", "STANDARD USAGE")</f>
        <v/>
      </c>
    </row>
    <row r="138">
      <c r="A138" s="13">
        <f>'Raw Enterprise Billing Data'!A138</f>
        <v/>
      </c>
      <c r="B138" s="13">
        <f>'Raw Enterprise Billing Data'!B138</f>
        <v/>
      </c>
      <c r="C138" s="13">
        <f>'Raw Enterprise Billing Data'!C138</f>
        <v/>
      </c>
      <c r="D138" s="14">
        <f>'Raw Enterprise Billing Data'!D138</f>
        <v/>
      </c>
      <c r="E138" s="13">
        <f>'Raw Enterprise Billing Data'!E138</f>
        <v/>
      </c>
      <c r="F138" s="14">
        <f>'Raw Enterprise Billing Data'!F138</f>
        <v/>
      </c>
      <c r="G138" s="15">
        <f>'Raw Enterprise Billing Data'!H138</f>
        <v/>
      </c>
      <c r="H138" s="13">
        <f>IF(COUNTIF($A$5:$A$499, A138)&gt;1, "⚠️ DUPLICATE", "UNIQUE")</f>
        <v/>
      </c>
      <c r="I138" s="14">
        <f>IF(OR(ISBLANK(D138), D138=""), "Unassigned", D138)</f>
        <v/>
      </c>
      <c r="J138" s="13">
        <f>IF(G138&lt;0, "CREDIT / ADJUSTMENT", "STANDARD USAGE")</f>
        <v/>
      </c>
    </row>
    <row r="139">
      <c r="A139" s="13">
        <f>'Raw Enterprise Billing Data'!A139</f>
        <v/>
      </c>
      <c r="B139" s="13">
        <f>'Raw Enterprise Billing Data'!B139</f>
        <v/>
      </c>
      <c r="C139" s="13">
        <f>'Raw Enterprise Billing Data'!C139</f>
        <v/>
      </c>
      <c r="D139" s="14">
        <f>'Raw Enterprise Billing Data'!D139</f>
        <v/>
      </c>
      <c r="E139" s="13">
        <f>'Raw Enterprise Billing Data'!E139</f>
        <v/>
      </c>
      <c r="F139" s="14">
        <f>'Raw Enterprise Billing Data'!F139</f>
        <v/>
      </c>
      <c r="G139" s="15">
        <f>'Raw Enterprise Billing Data'!H139</f>
        <v/>
      </c>
      <c r="H139" s="13">
        <f>IF(COUNTIF($A$5:$A$499, A139)&gt;1, "⚠️ DUPLICATE", "UNIQUE")</f>
        <v/>
      </c>
      <c r="I139" s="14">
        <f>IF(OR(ISBLANK(D139), D139=""), "Unassigned", D139)</f>
        <v/>
      </c>
      <c r="J139" s="13">
        <f>IF(G139&lt;0, "CREDIT / ADJUSTMENT", "STANDARD USAGE")</f>
        <v/>
      </c>
    </row>
    <row r="140">
      <c r="A140" s="13">
        <f>'Raw Enterprise Billing Data'!A140</f>
        <v/>
      </c>
      <c r="B140" s="13">
        <f>'Raw Enterprise Billing Data'!B140</f>
        <v/>
      </c>
      <c r="C140" s="13">
        <f>'Raw Enterprise Billing Data'!C140</f>
        <v/>
      </c>
      <c r="D140" s="14">
        <f>'Raw Enterprise Billing Data'!D140</f>
        <v/>
      </c>
      <c r="E140" s="13">
        <f>'Raw Enterprise Billing Data'!E140</f>
        <v/>
      </c>
      <c r="F140" s="14">
        <f>'Raw Enterprise Billing Data'!F140</f>
        <v/>
      </c>
      <c r="G140" s="15">
        <f>'Raw Enterprise Billing Data'!H140</f>
        <v/>
      </c>
      <c r="H140" s="13">
        <f>IF(COUNTIF($A$5:$A$499, A140)&gt;1, "⚠️ DUPLICATE", "UNIQUE")</f>
        <v/>
      </c>
      <c r="I140" s="14">
        <f>IF(OR(ISBLANK(D140), D140=""), "Unassigned", D140)</f>
        <v/>
      </c>
      <c r="J140" s="13">
        <f>IF(G140&lt;0, "CREDIT / ADJUSTMENT", "STANDARD USAGE")</f>
        <v/>
      </c>
    </row>
    <row r="141">
      <c r="A141" s="13">
        <f>'Raw Enterprise Billing Data'!A141</f>
        <v/>
      </c>
      <c r="B141" s="13">
        <f>'Raw Enterprise Billing Data'!B141</f>
        <v/>
      </c>
      <c r="C141" s="13">
        <f>'Raw Enterprise Billing Data'!C141</f>
        <v/>
      </c>
      <c r="D141" s="14">
        <f>'Raw Enterprise Billing Data'!D141</f>
        <v/>
      </c>
      <c r="E141" s="13">
        <f>'Raw Enterprise Billing Data'!E141</f>
        <v/>
      </c>
      <c r="F141" s="14">
        <f>'Raw Enterprise Billing Data'!F141</f>
        <v/>
      </c>
      <c r="G141" s="15">
        <f>'Raw Enterprise Billing Data'!H141</f>
        <v/>
      </c>
      <c r="H141" s="13">
        <f>IF(COUNTIF($A$5:$A$499, A141)&gt;1, "⚠️ DUPLICATE", "UNIQUE")</f>
        <v/>
      </c>
      <c r="I141" s="14">
        <f>IF(OR(ISBLANK(D141), D141=""), "Unassigned", D141)</f>
        <v/>
      </c>
      <c r="J141" s="13">
        <f>IF(G141&lt;0, "CREDIT / ADJUSTMENT", "STANDARD USAGE")</f>
        <v/>
      </c>
    </row>
    <row r="142">
      <c r="A142" s="13">
        <f>'Raw Enterprise Billing Data'!A142</f>
        <v/>
      </c>
      <c r="B142" s="13">
        <f>'Raw Enterprise Billing Data'!B142</f>
        <v/>
      </c>
      <c r="C142" s="13">
        <f>'Raw Enterprise Billing Data'!C142</f>
        <v/>
      </c>
      <c r="D142" s="14">
        <f>'Raw Enterprise Billing Data'!D142</f>
        <v/>
      </c>
      <c r="E142" s="13">
        <f>'Raw Enterprise Billing Data'!E142</f>
        <v/>
      </c>
      <c r="F142" s="14">
        <f>'Raw Enterprise Billing Data'!F142</f>
        <v/>
      </c>
      <c r="G142" s="15">
        <f>'Raw Enterprise Billing Data'!H142</f>
        <v/>
      </c>
      <c r="H142" s="13">
        <f>IF(COUNTIF($A$5:$A$499, A142)&gt;1, "⚠️ DUPLICATE", "UNIQUE")</f>
        <v/>
      </c>
      <c r="I142" s="14">
        <f>IF(OR(ISBLANK(D142), D142=""), "Unassigned", D142)</f>
        <v/>
      </c>
      <c r="J142" s="13">
        <f>IF(G142&lt;0, "CREDIT / ADJUSTMENT", "STANDARD USAGE")</f>
        <v/>
      </c>
    </row>
    <row r="143">
      <c r="A143" s="13">
        <f>'Raw Enterprise Billing Data'!A143</f>
        <v/>
      </c>
      <c r="B143" s="13">
        <f>'Raw Enterprise Billing Data'!B143</f>
        <v/>
      </c>
      <c r="C143" s="13">
        <f>'Raw Enterprise Billing Data'!C143</f>
        <v/>
      </c>
      <c r="D143" s="14">
        <f>'Raw Enterprise Billing Data'!D143</f>
        <v/>
      </c>
      <c r="E143" s="13">
        <f>'Raw Enterprise Billing Data'!E143</f>
        <v/>
      </c>
      <c r="F143" s="14">
        <f>'Raw Enterprise Billing Data'!F143</f>
        <v/>
      </c>
      <c r="G143" s="15">
        <f>'Raw Enterprise Billing Data'!H143</f>
        <v/>
      </c>
      <c r="H143" s="13">
        <f>IF(COUNTIF($A$5:$A$499, A143)&gt;1, "⚠️ DUPLICATE", "UNIQUE")</f>
        <v/>
      </c>
      <c r="I143" s="14">
        <f>IF(OR(ISBLANK(D143), D143=""), "Unassigned", D143)</f>
        <v/>
      </c>
      <c r="J143" s="13">
        <f>IF(G143&lt;0, "CREDIT / ADJUSTMENT", "STANDARD USAGE")</f>
        <v/>
      </c>
    </row>
    <row r="144">
      <c r="A144" s="13">
        <f>'Raw Enterprise Billing Data'!A144</f>
        <v/>
      </c>
      <c r="B144" s="13">
        <f>'Raw Enterprise Billing Data'!B144</f>
        <v/>
      </c>
      <c r="C144" s="13">
        <f>'Raw Enterprise Billing Data'!C144</f>
        <v/>
      </c>
      <c r="D144" s="14">
        <f>'Raw Enterprise Billing Data'!D144</f>
        <v/>
      </c>
      <c r="E144" s="13">
        <f>'Raw Enterprise Billing Data'!E144</f>
        <v/>
      </c>
      <c r="F144" s="14">
        <f>'Raw Enterprise Billing Data'!F144</f>
        <v/>
      </c>
      <c r="G144" s="15">
        <f>'Raw Enterprise Billing Data'!H144</f>
        <v/>
      </c>
      <c r="H144" s="13">
        <f>IF(COUNTIF($A$5:$A$499, A144)&gt;1, "⚠️ DUPLICATE", "UNIQUE")</f>
        <v/>
      </c>
      <c r="I144" s="14">
        <f>IF(OR(ISBLANK(D144), D144=""), "Unassigned", D144)</f>
        <v/>
      </c>
      <c r="J144" s="13">
        <f>IF(G144&lt;0, "CREDIT / ADJUSTMENT", "STANDARD USAGE")</f>
        <v/>
      </c>
    </row>
    <row r="145">
      <c r="A145" s="13">
        <f>'Raw Enterprise Billing Data'!A145</f>
        <v/>
      </c>
      <c r="B145" s="13">
        <f>'Raw Enterprise Billing Data'!B145</f>
        <v/>
      </c>
      <c r="C145" s="13">
        <f>'Raw Enterprise Billing Data'!C145</f>
        <v/>
      </c>
      <c r="D145" s="14">
        <f>'Raw Enterprise Billing Data'!D145</f>
        <v/>
      </c>
      <c r="E145" s="13">
        <f>'Raw Enterprise Billing Data'!E145</f>
        <v/>
      </c>
      <c r="F145" s="14">
        <f>'Raw Enterprise Billing Data'!F145</f>
        <v/>
      </c>
      <c r="G145" s="15">
        <f>'Raw Enterprise Billing Data'!H145</f>
        <v/>
      </c>
      <c r="H145" s="13">
        <f>IF(COUNTIF($A$5:$A$499, A145)&gt;1, "⚠️ DUPLICATE", "UNIQUE")</f>
        <v/>
      </c>
      <c r="I145" s="14">
        <f>IF(OR(ISBLANK(D145), D145=""), "Unassigned", D145)</f>
        <v/>
      </c>
      <c r="J145" s="13">
        <f>IF(G145&lt;0, "CREDIT / ADJUSTMENT", "STANDARD USAGE")</f>
        <v/>
      </c>
    </row>
    <row r="146">
      <c r="A146" s="13">
        <f>'Raw Enterprise Billing Data'!A146</f>
        <v/>
      </c>
      <c r="B146" s="13">
        <f>'Raw Enterprise Billing Data'!B146</f>
        <v/>
      </c>
      <c r="C146" s="13">
        <f>'Raw Enterprise Billing Data'!C146</f>
        <v/>
      </c>
      <c r="D146" s="14">
        <f>'Raw Enterprise Billing Data'!D146</f>
        <v/>
      </c>
      <c r="E146" s="13">
        <f>'Raw Enterprise Billing Data'!E146</f>
        <v/>
      </c>
      <c r="F146" s="14">
        <f>'Raw Enterprise Billing Data'!F146</f>
        <v/>
      </c>
      <c r="G146" s="15">
        <f>'Raw Enterprise Billing Data'!H146</f>
        <v/>
      </c>
      <c r="H146" s="13">
        <f>IF(COUNTIF($A$5:$A$499, A146)&gt;1, "⚠️ DUPLICATE", "UNIQUE")</f>
        <v/>
      </c>
      <c r="I146" s="14">
        <f>IF(OR(ISBLANK(D146), D146=""), "Unassigned", D146)</f>
        <v/>
      </c>
      <c r="J146" s="13">
        <f>IF(G146&lt;0, "CREDIT / ADJUSTMENT", "STANDARD USAGE")</f>
        <v/>
      </c>
    </row>
    <row r="147">
      <c r="A147" s="13">
        <f>'Raw Enterprise Billing Data'!A147</f>
        <v/>
      </c>
      <c r="B147" s="13">
        <f>'Raw Enterprise Billing Data'!B147</f>
        <v/>
      </c>
      <c r="C147" s="13">
        <f>'Raw Enterprise Billing Data'!C147</f>
        <v/>
      </c>
      <c r="D147" s="14">
        <f>'Raw Enterprise Billing Data'!D147</f>
        <v/>
      </c>
      <c r="E147" s="13">
        <f>'Raw Enterprise Billing Data'!E147</f>
        <v/>
      </c>
      <c r="F147" s="14">
        <f>'Raw Enterprise Billing Data'!F147</f>
        <v/>
      </c>
      <c r="G147" s="15">
        <f>'Raw Enterprise Billing Data'!H147</f>
        <v/>
      </c>
      <c r="H147" s="13">
        <f>IF(COUNTIF($A$5:$A$499, A147)&gt;1, "⚠️ DUPLICATE", "UNIQUE")</f>
        <v/>
      </c>
      <c r="I147" s="14">
        <f>IF(OR(ISBLANK(D147), D147=""), "Unassigned", D147)</f>
        <v/>
      </c>
      <c r="J147" s="13">
        <f>IF(G147&lt;0, "CREDIT / ADJUSTMENT", "STANDARD USAGE")</f>
        <v/>
      </c>
    </row>
    <row r="148">
      <c r="A148" s="13">
        <f>'Raw Enterprise Billing Data'!A148</f>
        <v/>
      </c>
      <c r="B148" s="13">
        <f>'Raw Enterprise Billing Data'!B148</f>
        <v/>
      </c>
      <c r="C148" s="13">
        <f>'Raw Enterprise Billing Data'!C148</f>
        <v/>
      </c>
      <c r="D148" s="14">
        <f>'Raw Enterprise Billing Data'!D148</f>
        <v/>
      </c>
      <c r="E148" s="13">
        <f>'Raw Enterprise Billing Data'!E148</f>
        <v/>
      </c>
      <c r="F148" s="14">
        <f>'Raw Enterprise Billing Data'!F148</f>
        <v/>
      </c>
      <c r="G148" s="15">
        <f>'Raw Enterprise Billing Data'!H148</f>
        <v/>
      </c>
      <c r="H148" s="13">
        <f>IF(COUNTIF($A$5:$A$499, A148)&gt;1, "⚠️ DUPLICATE", "UNIQUE")</f>
        <v/>
      </c>
      <c r="I148" s="14">
        <f>IF(OR(ISBLANK(D148), D148=""), "Unassigned", D148)</f>
        <v/>
      </c>
      <c r="J148" s="13">
        <f>IF(G148&lt;0, "CREDIT / ADJUSTMENT", "STANDARD USAGE")</f>
        <v/>
      </c>
    </row>
    <row r="149">
      <c r="A149" s="13">
        <f>'Raw Enterprise Billing Data'!A149</f>
        <v/>
      </c>
      <c r="B149" s="13">
        <f>'Raw Enterprise Billing Data'!B149</f>
        <v/>
      </c>
      <c r="C149" s="13">
        <f>'Raw Enterprise Billing Data'!C149</f>
        <v/>
      </c>
      <c r="D149" s="14">
        <f>'Raw Enterprise Billing Data'!D149</f>
        <v/>
      </c>
      <c r="E149" s="13">
        <f>'Raw Enterprise Billing Data'!E149</f>
        <v/>
      </c>
      <c r="F149" s="14">
        <f>'Raw Enterprise Billing Data'!F149</f>
        <v/>
      </c>
      <c r="G149" s="15">
        <f>'Raw Enterprise Billing Data'!H149</f>
        <v/>
      </c>
      <c r="H149" s="13">
        <f>IF(COUNTIF($A$5:$A$499, A149)&gt;1, "⚠️ DUPLICATE", "UNIQUE")</f>
        <v/>
      </c>
      <c r="I149" s="14">
        <f>IF(OR(ISBLANK(D149), D149=""), "Unassigned", D149)</f>
        <v/>
      </c>
      <c r="J149" s="13">
        <f>IF(G149&lt;0, "CREDIT / ADJUSTMENT", "STANDARD USAGE")</f>
        <v/>
      </c>
    </row>
    <row r="150">
      <c r="A150" s="13">
        <f>'Raw Enterprise Billing Data'!A150</f>
        <v/>
      </c>
      <c r="B150" s="13">
        <f>'Raw Enterprise Billing Data'!B150</f>
        <v/>
      </c>
      <c r="C150" s="13">
        <f>'Raw Enterprise Billing Data'!C150</f>
        <v/>
      </c>
      <c r="D150" s="14">
        <f>'Raw Enterprise Billing Data'!D150</f>
        <v/>
      </c>
      <c r="E150" s="13">
        <f>'Raw Enterprise Billing Data'!E150</f>
        <v/>
      </c>
      <c r="F150" s="14">
        <f>'Raw Enterprise Billing Data'!F150</f>
        <v/>
      </c>
      <c r="G150" s="15">
        <f>'Raw Enterprise Billing Data'!H150</f>
        <v/>
      </c>
      <c r="H150" s="13">
        <f>IF(COUNTIF($A$5:$A$499, A150)&gt;1, "⚠️ DUPLICATE", "UNIQUE")</f>
        <v/>
      </c>
      <c r="I150" s="14">
        <f>IF(OR(ISBLANK(D150), D150=""), "Unassigned", D150)</f>
        <v/>
      </c>
      <c r="J150" s="13">
        <f>IF(G150&lt;0, "CREDIT / ADJUSTMENT", "STANDARD USAGE")</f>
        <v/>
      </c>
    </row>
    <row r="151">
      <c r="A151" s="13">
        <f>'Raw Enterprise Billing Data'!A151</f>
        <v/>
      </c>
      <c r="B151" s="13">
        <f>'Raw Enterprise Billing Data'!B151</f>
        <v/>
      </c>
      <c r="C151" s="13">
        <f>'Raw Enterprise Billing Data'!C151</f>
        <v/>
      </c>
      <c r="D151" s="14">
        <f>'Raw Enterprise Billing Data'!D151</f>
        <v/>
      </c>
      <c r="E151" s="13">
        <f>'Raw Enterprise Billing Data'!E151</f>
        <v/>
      </c>
      <c r="F151" s="14">
        <f>'Raw Enterprise Billing Data'!F151</f>
        <v/>
      </c>
      <c r="G151" s="15">
        <f>'Raw Enterprise Billing Data'!H151</f>
        <v/>
      </c>
      <c r="H151" s="13">
        <f>IF(COUNTIF($A$5:$A$499, A151)&gt;1, "⚠️ DUPLICATE", "UNIQUE")</f>
        <v/>
      </c>
      <c r="I151" s="14">
        <f>IF(OR(ISBLANK(D151), D151=""), "Unassigned", D151)</f>
        <v/>
      </c>
      <c r="J151" s="13">
        <f>IF(G151&lt;0, "CREDIT / ADJUSTMENT", "STANDARD USAGE")</f>
        <v/>
      </c>
    </row>
    <row r="152">
      <c r="A152" s="13">
        <f>'Raw Enterprise Billing Data'!A152</f>
        <v/>
      </c>
      <c r="B152" s="13">
        <f>'Raw Enterprise Billing Data'!B152</f>
        <v/>
      </c>
      <c r="C152" s="13">
        <f>'Raw Enterprise Billing Data'!C152</f>
        <v/>
      </c>
      <c r="D152" s="14">
        <f>'Raw Enterprise Billing Data'!D152</f>
        <v/>
      </c>
      <c r="E152" s="13">
        <f>'Raw Enterprise Billing Data'!E152</f>
        <v/>
      </c>
      <c r="F152" s="14">
        <f>'Raw Enterprise Billing Data'!F152</f>
        <v/>
      </c>
      <c r="G152" s="15">
        <f>'Raw Enterprise Billing Data'!H152</f>
        <v/>
      </c>
      <c r="H152" s="13">
        <f>IF(COUNTIF($A$5:$A$499, A152)&gt;1, "⚠️ DUPLICATE", "UNIQUE")</f>
        <v/>
      </c>
      <c r="I152" s="14">
        <f>IF(OR(ISBLANK(D152), D152=""), "Unassigned", D152)</f>
        <v/>
      </c>
      <c r="J152" s="13">
        <f>IF(G152&lt;0, "CREDIT / ADJUSTMENT", "STANDARD USAGE")</f>
        <v/>
      </c>
    </row>
    <row r="153">
      <c r="A153" s="13">
        <f>'Raw Enterprise Billing Data'!A153</f>
        <v/>
      </c>
      <c r="B153" s="13">
        <f>'Raw Enterprise Billing Data'!B153</f>
        <v/>
      </c>
      <c r="C153" s="13">
        <f>'Raw Enterprise Billing Data'!C153</f>
        <v/>
      </c>
      <c r="D153" s="14">
        <f>'Raw Enterprise Billing Data'!D153</f>
        <v/>
      </c>
      <c r="E153" s="13">
        <f>'Raw Enterprise Billing Data'!E153</f>
        <v/>
      </c>
      <c r="F153" s="14">
        <f>'Raw Enterprise Billing Data'!F153</f>
        <v/>
      </c>
      <c r="G153" s="15">
        <f>'Raw Enterprise Billing Data'!H153</f>
        <v/>
      </c>
      <c r="H153" s="13">
        <f>IF(COUNTIF($A$5:$A$499, A153)&gt;1, "⚠️ DUPLICATE", "UNIQUE")</f>
        <v/>
      </c>
      <c r="I153" s="14">
        <f>IF(OR(ISBLANK(D153), D153=""), "Unassigned", D153)</f>
        <v/>
      </c>
      <c r="J153" s="13">
        <f>IF(G153&lt;0, "CREDIT / ADJUSTMENT", "STANDARD USAGE")</f>
        <v/>
      </c>
    </row>
    <row r="154">
      <c r="A154" s="13">
        <f>'Raw Enterprise Billing Data'!A154</f>
        <v/>
      </c>
      <c r="B154" s="13">
        <f>'Raw Enterprise Billing Data'!B154</f>
        <v/>
      </c>
      <c r="C154" s="13">
        <f>'Raw Enterprise Billing Data'!C154</f>
        <v/>
      </c>
      <c r="D154" s="14">
        <f>'Raw Enterprise Billing Data'!D154</f>
        <v/>
      </c>
      <c r="E154" s="13">
        <f>'Raw Enterprise Billing Data'!E154</f>
        <v/>
      </c>
      <c r="F154" s="14">
        <f>'Raw Enterprise Billing Data'!F154</f>
        <v/>
      </c>
      <c r="G154" s="15">
        <f>'Raw Enterprise Billing Data'!H154</f>
        <v/>
      </c>
      <c r="H154" s="13">
        <f>IF(COUNTIF($A$5:$A$499, A154)&gt;1, "⚠️ DUPLICATE", "UNIQUE")</f>
        <v/>
      </c>
      <c r="I154" s="14">
        <f>IF(OR(ISBLANK(D154), D154=""), "Unassigned", D154)</f>
        <v/>
      </c>
      <c r="J154" s="13">
        <f>IF(G154&lt;0, "CREDIT / ADJUSTMENT", "STANDARD USAGE")</f>
        <v/>
      </c>
    </row>
    <row r="155">
      <c r="A155" s="13">
        <f>'Raw Enterprise Billing Data'!A155</f>
        <v/>
      </c>
      <c r="B155" s="13">
        <f>'Raw Enterprise Billing Data'!B155</f>
        <v/>
      </c>
      <c r="C155" s="13">
        <f>'Raw Enterprise Billing Data'!C155</f>
        <v/>
      </c>
      <c r="D155" s="14">
        <f>'Raw Enterprise Billing Data'!D155</f>
        <v/>
      </c>
      <c r="E155" s="13">
        <f>'Raw Enterprise Billing Data'!E155</f>
        <v/>
      </c>
      <c r="F155" s="14">
        <f>'Raw Enterprise Billing Data'!F155</f>
        <v/>
      </c>
      <c r="G155" s="15">
        <f>'Raw Enterprise Billing Data'!H155</f>
        <v/>
      </c>
      <c r="H155" s="13">
        <f>IF(COUNTIF($A$5:$A$499, A155)&gt;1, "⚠️ DUPLICATE", "UNIQUE")</f>
        <v/>
      </c>
      <c r="I155" s="14">
        <f>IF(OR(ISBLANK(D155), D155=""), "Unassigned", D155)</f>
        <v/>
      </c>
      <c r="J155" s="13">
        <f>IF(G155&lt;0, "CREDIT / ADJUSTMENT", "STANDARD USAGE")</f>
        <v/>
      </c>
    </row>
    <row r="156">
      <c r="A156" s="13">
        <f>'Raw Enterprise Billing Data'!A156</f>
        <v/>
      </c>
      <c r="B156" s="13">
        <f>'Raw Enterprise Billing Data'!B156</f>
        <v/>
      </c>
      <c r="C156" s="13">
        <f>'Raw Enterprise Billing Data'!C156</f>
        <v/>
      </c>
      <c r="D156" s="14">
        <f>'Raw Enterprise Billing Data'!D156</f>
        <v/>
      </c>
      <c r="E156" s="13">
        <f>'Raw Enterprise Billing Data'!E156</f>
        <v/>
      </c>
      <c r="F156" s="14">
        <f>'Raw Enterprise Billing Data'!F156</f>
        <v/>
      </c>
      <c r="G156" s="15">
        <f>'Raw Enterprise Billing Data'!H156</f>
        <v/>
      </c>
      <c r="H156" s="13">
        <f>IF(COUNTIF($A$5:$A$499, A156)&gt;1, "⚠️ DUPLICATE", "UNIQUE")</f>
        <v/>
      </c>
      <c r="I156" s="14">
        <f>IF(OR(ISBLANK(D156), D156=""), "Unassigned", D156)</f>
        <v/>
      </c>
      <c r="J156" s="13">
        <f>IF(G156&lt;0, "CREDIT / ADJUSTMENT", "STANDARD USAGE")</f>
        <v/>
      </c>
    </row>
    <row r="157">
      <c r="A157" s="13">
        <f>'Raw Enterprise Billing Data'!A157</f>
        <v/>
      </c>
      <c r="B157" s="13">
        <f>'Raw Enterprise Billing Data'!B157</f>
        <v/>
      </c>
      <c r="C157" s="13">
        <f>'Raw Enterprise Billing Data'!C157</f>
        <v/>
      </c>
      <c r="D157" s="14">
        <f>'Raw Enterprise Billing Data'!D157</f>
        <v/>
      </c>
      <c r="E157" s="13">
        <f>'Raw Enterprise Billing Data'!E157</f>
        <v/>
      </c>
      <c r="F157" s="14">
        <f>'Raw Enterprise Billing Data'!F157</f>
        <v/>
      </c>
      <c r="G157" s="15">
        <f>'Raw Enterprise Billing Data'!H157</f>
        <v/>
      </c>
      <c r="H157" s="13">
        <f>IF(COUNTIF($A$5:$A$499, A157)&gt;1, "⚠️ DUPLICATE", "UNIQUE")</f>
        <v/>
      </c>
      <c r="I157" s="14">
        <f>IF(OR(ISBLANK(D157), D157=""), "Unassigned", D157)</f>
        <v/>
      </c>
      <c r="J157" s="13">
        <f>IF(G157&lt;0, "CREDIT / ADJUSTMENT", "STANDARD USAGE")</f>
        <v/>
      </c>
    </row>
    <row r="158">
      <c r="A158" s="13">
        <f>'Raw Enterprise Billing Data'!A158</f>
        <v/>
      </c>
      <c r="B158" s="13">
        <f>'Raw Enterprise Billing Data'!B158</f>
        <v/>
      </c>
      <c r="C158" s="13">
        <f>'Raw Enterprise Billing Data'!C158</f>
        <v/>
      </c>
      <c r="D158" s="14">
        <f>'Raw Enterprise Billing Data'!D158</f>
        <v/>
      </c>
      <c r="E158" s="13">
        <f>'Raw Enterprise Billing Data'!E158</f>
        <v/>
      </c>
      <c r="F158" s="14">
        <f>'Raw Enterprise Billing Data'!F158</f>
        <v/>
      </c>
      <c r="G158" s="15">
        <f>'Raw Enterprise Billing Data'!H158</f>
        <v/>
      </c>
      <c r="H158" s="13">
        <f>IF(COUNTIF($A$5:$A$499, A158)&gt;1, "⚠️ DUPLICATE", "UNIQUE")</f>
        <v/>
      </c>
      <c r="I158" s="14">
        <f>IF(OR(ISBLANK(D158), D158=""), "Unassigned", D158)</f>
        <v/>
      </c>
      <c r="J158" s="13">
        <f>IF(G158&lt;0, "CREDIT / ADJUSTMENT", "STANDARD USAGE")</f>
        <v/>
      </c>
    </row>
    <row r="159">
      <c r="A159" s="13">
        <f>'Raw Enterprise Billing Data'!A159</f>
        <v/>
      </c>
      <c r="B159" s="13">
        <f>'Raw Enterprise Billing Data'!B159</f>
        <v/>
      </c>
      <c r="C159" s="13">
        <f>'Raw Enterprise Billing Data'!C159</f>
        <v/>
      </c>
      <c r="D159" s="14">
        <f>'Raw Enterprise Billing Data'!D159</f>
        <v/>
      </c>
      <c r="E159" s="13">
        <f>'Raw Enterprise Billing Data'!E159</f>
        <v/>
      </c>
      <c r="F159" s="14">
        <f>'Raw Enterprise Billing Data'!F159</f>
        <v/>
      </c>
      <c r="G159" s="15">
        <f>'Raw Enterprise Billing Data'!H159</f>
        <v/>
      </c>
      <c r="H159" s="13">
        <f>IF(COUNTIF($A$5:$A$499, A159)&gt;1, "⚠️ DUPLICATE", "UNIQUE")</f>
        <v/>
      </c>
      <c r="I159" s="14">
        <f>IF(OR(ISBLANK(D159), D159=""), "Unassigned", D159)</f>
        <v/>
      </c>
      <c r="J159" s="13">
        <f>IF(G159&lt;0, "CREDIT / ADJUSTMENT", "STANDARD USAGE")</f>
        <v/>
      </c>
    </row>
    <row r="160">
      <c r="A160" s="13">
        <f>'Raw Enterprise Billing Data'!A160</f>
        <v/>
      </c>
      <c r="B160" s="13">
        <f>'Raw Enterprise Billing Data'!B160</f>
        <v/>
      </c>
      <c r="C160" s="13">
        <f>'Raw Enterprise Billing Data'!C160</f>
        <v/>
      </c>
      <c r="D160" s="14">
        <f>'Raw Enterprise Billing Data'!D160</f>
        <v/>
      </c>
      <c r="E160" s="13">
        <f>'Raw Enterprise Billing Data'!E160</f>
        <v/>
      </c>
      <c r="F160" s="14">
        <f>'Raw Enterprise Billing Data'!F160</f>
        <v/>
      </c>
      <c r="G160" s="15">
        <f>'Raw Enterprise Billing Data'!H160</f>
        <v/>
      </c>
      <c r="H160" s="13">
        <f>IF(COUNTIF($A$5:$A$499, A160)&gt;1, "⚠️ DUPLICATE", "UNIQUE")</f>
        <v/>
      </c>
      <c r="I160" s="14">
        <f>IF(OR(ISBLANK(D160), D160=""), "Unassigned", D160)</f>
        <v/>
      </c>
      <c r="J160" s="13">
        <f>IF(G160&lt;0, "CREDIT / ADJUSTMENT", "STANDARD USAGE")</f>
        <v/>
      </c>
    </row>
    <row r="161">
      <c r="A161" s="13">
        <f>'Raw Enterprise Billing Data'!A161</f>
        <v/>
      </c>
      <c r="B161" s="13">
        <f>'Raw Enterprise Billing Data'!B161</f>
        <v/>
      </c>
      <c r="C161" s="13">
        <f>'Raw Enterprise Billing Data'!C161</f>
        <v/>
      </c>
      <c r="D161" s="14">
        <f>'Raw Enterprise Billing Data'!D161</f>
        <v/>
      </c>
      <c r="E161" s="13">
        <f>'Raw Enterprise Billing Data'!E161</f>
        <v/>
      </c>
      <c r="F161" s="14">
        <f>'Raw Enterprise Billing Data'!F161</f>
        <v/>
      </c>
      <c r="G161" s="15">
        <f>'Raw Enterprise Billing Data'!H161</f>
        <v/>
      </c>
      <c r="H161" s="13">
        <f>IF(COUNTIF($A$5:$A$499, A161)&gt;1, "⚠️ DUPLICATE", "UNIQUE")</f>
        <v/>
      </c>
      <c r="I161" s="14">
        <f>IF(OR(ISBLANK(D161), D161=""), "Unassigned", D161)</f>
        <v/>
      </c>
      <c r="J161" s="13">
        <f>IF(G161&lt;0, "CREDIT / ADJUSTMENT", "STANDARD USAGE")</f>
        <v/>
      </c>
    </row>
    <row r="162">
      <c r="A162" s="13">
        <f>'Raw Enterprise Billing Data'!A162</f>
        <v/>
      </c>
      <c r="B162" s="13">
        <f>'Raw Enterprise Billing Data'!B162</f>
        <v/>
      </c>
      <c r="C162" s="13">
        <f>'Raw Enterprise Billing Data'!C162</f>
        <v/>
      </c>
      <c r="D162" s="14">
        <f>'Raw Enterprise Billing Data'!D162</f>
        <v/>
      </c>
      <c r="E162" s="13">
        <f>'Raw Enterprise Billing Data'!E162</f>
        <v/>
      </c>
      <c r="F162" s="14">
        <f>'Raw Enterprise Billing Data'!F162</f>
        <v/>
      </c>
      <c r="G162" s="15">
        <f>'Raw Enterprise Billing Data'!H162</f>
        <v/>
      </c>
      <c r="H162" s="13">
        <f>IF(COUNTIF($A$5:$A$499, A162)&gt;1, "⚠️ DUPLICATE", "UNIQUE")</f>
        <v/>
      </c>
      <c r="I162" s="14">
        <f>IF(OR(ISBLANK(D162), D162=""), "Unassigned", D162)</f>
        <v/>
      </c>
      <c r="J162" s="13">
        <f>IF(G162&lt;0, "CREDIT / ADJUSTMENT", "STANDARD USAGE")</f>
        <v/>
      </c>
    </row>
    <row r="163">
      <c r="A163" s="13">
        <f>'Raw Enterprise Billing Data'!A163</f>
        <v/>
      </c>
      <c r="B163" s="13">
        <f>'Raw Enterprise Billing Data'!B163</f>
        <v/>
      </c>
      <c r="C163" s="13">
        <f>'Raw Enterprise Billing Data'!C163</f>
        <v/>
      </c>
      <c r="D163" s="14">
        <f>'Raw Enterprise Billing Data'!D163</f>
        <v/>
      </c>
      <c r="E163" s="13">
        <f>'Raw Enterprise Billing Data'!E163</f>
        <v/>
      </c>
      <c r="F163" s="14">
        <f>'Raw Enterprise Billing Data'!F163</f>
        <v/>
      </c>
      <c r="G163" s="15">
        <f>'Raw Enterprise Billing Data'!H163</f>
        <v/>
      </c>
      <c r="H163" s="13">
        <f>IF(COUNTIF($A$5:$A$499, A163)&gt;1, "⚠️ DUPLICATE", "UNIQUE")</f>
        <v/>
      </c>
      <c r="I163" s="14">
        <f>IF(OR(ISBLANK(D163), D163=""), "Unassigned", D163)</f>
        <v/>
      </c>
      <c r="J163" s="13">
        <f>IF(G163&lt;0, "CREDIT / ADJUSTMENT", "STANDARD USAGE")</f>
        <v/>
      </c>
    </row>
    <row r="164">
      <c r="A164" s="13">
        <f>'Raw Enterprise Billing Data'!A164</f>
        <v/>
      </c>
      <c r="B164" s="13">
        <f>'Raw Enterprise Billing Data'!B164</f>
        <v/>
      </c>
      <c r="C164" s="13">
        <f>'Raw Enterprise Billing Data'!C164</f>
        <v/>
      </c>
      <c r="D164" s="14">
        <f>'Raw Enterprise Billing Data'!D164</f>
        <v/>
      </c>
      <c r="E164" s="13">
        <f>'Raw Enterprise Billing Data'!E164</f>
        <v/>
      </c>
      <c r="F164" s="14">
        <f>'Raw Enterprise Billing Data'!F164</f>
        <v/>
      </c>
      <c r="G164" s="15">
        <f>'Raw Enterprise Billing Data'!H164</f>
        <v/>
      </c>
      <c r="H164" s="13">
        <f>IF(COUNTIF($A$5:$A$499, A164)&gt;1, "⚠️ DUPLICATE", "UNIQUE")</f>
        <v/>
      </c>
      <c r="I164" s="14">
        <f>IF(OR(ISBLANK(D164), D164=""), "Unassigned", D164)</f>
        <v/>
      </c>
      <c r="J164" s="13">
        <f>IF(G164&lt;0, "CREDIT / ADJUSTMENT", "STANDARD USAGE")</f>
        <v/>
      </c>
    </row>
    <row r="165">
      <c r="A165" s="13">
        <f>'Raw Enterprise Billing Data'!A165</f>
        <v/>
      </c>
      <c r="B165" s="13">
        <f>'Raw Enterprise Billing Data'!B165</f>
        <v/>
      </c>
      <c r="C165" s="13">
        <f>'Raw Enterprise Billing Data'!C165</f>
        <v/>
      </c>
      <c r="D165" s="14">
        <f>'Raw Enterprise Billing Data'!D165</f>
        <v/>
      </c>
      <c r="E165" s="13">
        <f>'Raw Enterprise Billing Data'!E165</f>
        <v/>
      </c>
      <c r="F165" s="14">
        <f>'Raw Enterprise Billing Data'!F165</f>
        <v/>
      </c>
      <c r="G165" s="15">
        <f>'Raw Enterprise Billing Data'!H165</f>
        <v/>
      </c>
      <c r="H165" s="13">
        <f>IF(COUNTIF($A$5:$A$499, A165)&gt;1, "⚠️ DUPLICATE", "UNIQUE")</f>
        <v/>
      </c>
      <c r="I165" s="14">
        <f>IF(OR(ISBLANK(D165), D165=""), "Unassigned", D165)</f>
        <v/>
      </c>
      <c r="J165" s="13">
        <f>IF(G165&lt;0, "CREDIT / ADJUSTMENT", "STANDARD USAGE")</f>
        <v/>
      </c>
    </row>
    <row r="166">
      <c r="A166" s="13">
        <f>'Raw Enterprise Billing Data'!A166</f>
        <v/>
      </c>
      <c r="B166" s="13">
        <f>'Raw Enterprise Billing Data'!B166</f>
        <v/>
      </c>
      <c r="C166" s="13">
        <f>'Raw Enterprise Billing Data'!C166</f>
        <v/>
      </c>
      <c r="D166" s="14">
        <f>'Raw Enterprise Billing Data'!D166</f>
        <v/>
      </c>
      <c r="E166" s="13">
        <f>'Raw Enterprise Billing Data'!E166</f>
        <v/>
      </c>
      <c r="F166" s="14">
        <f>'Raw Enterprise Billing Data'!F166</f>
        <v/>
      </c>
      <c r="G166" s="15">
        <f>'Raw Enterprise Billing Data'!H166</f>
        <v/>
      </c>
      <c r="H166" s="13">
        <f>IF(COUNTIF($A$5:$A$499, A166)&gt;1, "⚠️ DUPLICATE", "UNIQUE")</f>
        <v/>
      </c>
      <c r="I166" s="14">
        <f>IF(OR(ISBLANK(D166), D166=""), "Unassigned", D166)</f>
        <v/>
      </c>
      <c r="J166" s="13">
        <f>IF(G166&lt;0, "CREDIT / ADJUSTMENT", "STANDARD USAGE")</f>
        <v/>
      </c>
    </row>
    <row r="167">
      <c r="A167" s="13">
        <f>'Raw Enterprise Billing Data'!A167</f>
        <v/>
      </c>
      <c r="B167" s="13">
        <f>'Raw Enterprise Billing Data'!B167</f>
        <v/>
      </c>
      <c r="C167" s="13">
        <f>'Raw Enterprise Billing Data'!C167</f>
        <v/>
      </c>
      <c r="D167" s="14">
        <f>'Raw Enterprise Billing Data'!D167</f>
        <v/>
      </c>
      <c r="E167" s="13">
        <f>'Raw Enterprise Billing Data'!E167</f>
        <v/>
      </c>
      <c r="F167" s="14">
        <f>'Raw Enterprise Billing Data'!F167</f>
        <v/>
      </c>
      <c r="G167" s="15">
        <f>'Raw Enterprise Billing Data'!H167</f>
        <v/>
      </c>
      <c r="H167" s="13">
        <f>IF(COUNTIF($A$5:$A$499, A167)&gt;1, "⚠️ DUPLICATE", "UNIQUE")</f>
        <v/>
      </c>
      <c r="I167" s="14">
        <f>IF(OR(ISBLANK(D167), D167=""), "Unassigned", D167)</f>
        <v/>
      </c>
      <c r="J167" s="13">
        <f>IF(G167&lt;0, "CREDIT / ADJUSTMENT", "STANDARD USAGE")</f>
        <v/>
      </c>
    </row>
    <row r="168">
      <c r="A168" s="13">
        <f>'Raw Enterprise Billing Data'!A168</f>
        <v/>
      </c>
      <c r="B168" s="13">
        <f>'Raw Enterprise Billing Data'!B168</f>
        <v/>
      </c>
      <c r="C168" s="13">
        <f>'Raw Enterprise Billing Data'!C168</f>
        <v/>
      </c>
      <c r="D168" s="14">
        <f>'Raw Enterprise Billing Data'!D168</f>
        <v/>
      </c>
      <c r="E168" s="13">
        <f>'Raw Enterprise Billing Data'!E168</f>
        <v/>
      </c>
      <c r="F168" s="14">
        <f>'Raw Enterprise Billing Data'!F168</f>
        <v/>
      </c>
      <c r="G168" s="15">
        <f>'Raw Enterprise Billing Data'!H168</f>
        <v/>
      </c>
      <c r="H168" s="13">
        <f>IF(COUNTIF($A$5:$A$499, A168)&gt;1, "⚠️ DUPLICATE", "UNIQUE")</f>
        <v/>
      </c>
      <c r="I168" s="14">
        <f>IF(OR(ISBLANK(D168), D168=""), "Unassigned", D168)</f>
        <v/>
      </c>
      <c r="J168" s="13">
        <f>IF(G168&lt;0, "CREDIT / ADJUSTMENT", "STANDARD USAGE")</f>
        <v/>
      </c>
    </row>
    <row r="169">
      <c r="A169" s="13">
        <f>'Raw Enterprise Billing Data'!A169</f>
        <v/>
      </c>
      <c r="B169" s="13">
        <f>'Raw Enterprise Billing Data'!B169</f>
        <v/>
      </c>
      <c r="C169" s="13">
        <f>'Raw Enterprise Billing Data'!C169</f>
        <v/>
      </c>
      <c r="D169" s="14">
        <f>'Raw Enterprise Billing Data'!D169</f>
        <v/>
      </c>
      <c r="E169" s="13">
        <f>'Raw Enterprise Billing Data'!E169</f>
        <v/>
      </c>
      <c r="F169" s="14">
        <f>'Raw Enterprise Billing Data'!F169</f>
        <v/>
      </c>
      <c r="G169" s="15">
        <f>'Raw Enterprise Billing Data'!H169</f>
        <v/>
      </c>
      <c r="H169" s="13">
        <f>IF(COUNTIF($A$5:$A$499, A169)&gt;1, "⚠️ DUPLICATE", "UNIQUE")</f>
        <v/>
      </c>
      <c r="I169" s="14">
        <f>IF(OR(ISBLANK(D169), D169=""), "Unassigned", D169)</f>
        <v/>
      </c>
      <c r="J169" s="13">
        <f>IF(G169&lt;0, "CREDIT / ADJUSTMENT", "STANDARD USAGE")</f>
        <v/>
      </c>
    </row>
    <row r="170">
      <c r="A170" s="13">
        <f>'Raw Enterprise Billing Data'!A170</f>
        <v/>
      </c>
      <c r="B170" s="13">
        <f>'Raw Enterprise Billing Data'!B170</f>
        <v/>
      </c>
      <c r="C170" s="13">
        <f>'Raw Enterprise Billing Data'!C170</f>
        <v/>
      </c>
      <c r="D170" s="14">
        <f>'Raw Enterprise Billing Data'!D170</f>
        <v/>
      </c>
      <c r="E170" s="13">
        <f>'Raw Enterprise Billing Data'!E170</f>
        <v/>
      </c>
      <c r="F170" s="14">
        <f>'Raw Enterprise Billing Data'!F170</f>
        <v/>
      </c>
      <c r="G170" s="15">
        <f>'Raw Enterprise Billing Data'!H170</f>
        <v/>
      </c>
      <c r="H170" s="13">
        <f>IF(COUNTIF($A$5:$A$499, A170)&gt;1, "⚠️ DUPLICATE", "UNIQUE")</f>
        <v/>
      </c>
      <c r="I170" s="14">
        <f>IF(OR(ISBLANK(D170), D170=""), "Unassigned", D170)</f>
        <v/>
      </c>
      <c r="J170" s="13">
        <f>IF(G170&lt;0, "CREDIT / ADJUSTMENT", "STANDARD USAGE")</f>
        <v/>
      </c>
    </row>
    <row r="171">
      <c r="A171" s="13">
        <f>'Raw Enterprise Billing Data'!A171</f>
        <v/>
      </c>
      <c r="B171" s="13">
        <f>'Raw Enterprise Billing Data'!B171</f>
        <v/>
      </c>
      <c r="C171" s="13">
        <f>'Raw Enterprise Billing Data'!C171</f>
        <v/>
      </c>
      <c r="D171" s="14">
        <f>'Raw Enterprise Billing Data'!D171</f>
        <v/>
      </c>
      <c r="E171" s="13">
        <f>'Raw Enterprise Billing Data'!E171</f>
        <v/>
      </c>
      <c r="F171" s="14">
        <f>'Raw Enterprise Billing Data'!F171</f>
        <v/>
      </c>
      <c r="G171" s="15">
        <f>'Raw Enterprise Billing Data'!H171</f>
        <v/>
      </c>
      <c r="H171" s="13">
        <f>IF(COUNTIF($A$5:$A$499, A171)&gt;1, "⚠️ DUPLICATE", "UNIQUE")</f>
        <v/>
      </c>
      <c r="I171" s="14">
        <f>IF(OR(ISBLANK(D171), D171=""), "Unassigned", D171)</f>
        <v/>
      </c>
      <c r="J171" s="13">
        <f>IF(G171&lt;0, "CREDIT / ADJUSTMENT", "STANDARD USAGE")</f>
        <v/>
      </c>
    </row>
    <row r="172">
      <c r="A172" s="13">
        <f>'Raw Enterprise Billing Data'!A172</f>
        <v/>
      </c>
      <c r="B172" s="13">
        <f>'Raw Enterprise Billing Data'!B172</f>
        <v/>
      </c>
      <c r="C172" s="13">
        <f>'Raw Enterprise Billing Data'!C172</f>
        <v/>
      </c>
      <c r="D172" s="14">
        <f>'Raw Enterprise Billing Data'!D172</f>
        <v/>
      </c>
      <c r="E172" s="13">
        <f>'Raw Enterprise Billing Data'!E172</f>
        <v/>
      </c>
      <c r="F172" s="14">
        <f>'Raw Enterprise Billing Data'!F172</f>
        <v/>
      </c>
      <c r="G172" s="15">
        <f>'Raw Enterprise Billing Data'!H172</f>
        <v/>
      </c>
      <c r="H172" s="13">
        <f>IF(COUNTIF($A$5:$A$499, A172)&gt;1, "⚠️ DUPLICATE", "UNIQUE")</f>
        <v/>
      </c>
      <c r="I172" s="14">
        <f>IF(OR(ISBLANK(D172), D172=""), "Unassigned", D172)</f>
        <v/>
      </c>
      <c r="J172" s="13">
        <f>IF(G172&lt;0, "CREDIT / ADJUSTMENT", "STANDARD USAGE")</f>
        <v/>
      </c>
    </row>
    <row r="173">
      <c r="A173" s="13">
        <f>'Raw Enterprise Billing Data'!A173</f>
        <v/>
      </c>
      <c r="B173" s="13">
        <f>'Raw Enterprise Billing Data'!B173</f>
        <v/>
      </c>
      <c r="C173" s="13">
        <f>'Raw Enterprise Billing Data'!C173</f>
        <v/>
      </c>
      <c r="D173" s="14">
        <f>'Raw Enterprise Billing Data'!D173</f>
        <v/>
      </c>
      <c r="E173" s="13">
        <f>'Raw Enterprise Billing Data'!E173</f>
        <v/>
      </c>
      <c r="F173" s="14">
        <f>'Raw Enterprise Billing Data'!F173</f>
        <v/>
      </c>
      <c r="G173" s="15">
        <f>'Raw Enterprise Billing Data'!H173</f>
        <v/>
      </c>
      <c r="H173" s="13">
        <f>IF(COUNTIF($A$5:$A$499, A173)&gt;1, "⚠️ DUPLICATE", "UNIQUE")</f>
        <v/>
      </c>
      <c r="I173" s="14">
        <f>IF(OR(ISBLANK(D173), D173=""), "Unassigned", D173)</f>
        <v/>
      </c>
      <c r="J173" s="13">
        <f>IF(G173&lt;0, "CREDIT / ADJUSTMENT", "STANDARD USAGE")</f>
        <v/>
      </c>
    </row>
    <row r="174">
      <c r="A174" s="13">
        <f>'Raw Enterprise Billing Data'!A174</f>
        <v/>
      </c>
      <c r="B174" s="13">
        <f>'Raw Enterprise Billing Data'!B174</f>
        <v/>
      </c>
      <c r="C174" s="13">
        <f>'Raw Enterprise Billing Data'!C174</f>
        <v/>
      </c>
      <c r="D174" s="14">
        <f>'Raw Enterprise Billing Data'!D174</f>
        <v/>
      </c>
      <c r="E174" s="13">
        <f>'Raw Enterprise Billing Data'!E174</f>
        <v/>
      </c>
      <c r="F174" s="14">
        <f>'Raw Enterprise Billing Data'!F174</f>
        <v/>
      </c>
      <c r="G174" s="15">
        <f>'Raw Enterprise Billing Data'!H174</f>
        <v/>
      </c>
      <c r="H174" s="13">
        <f>IF(COUNTIF($A$5:$A$499, A174)&gt;1, "⚠️ DUPLICATE", "UNIQUE")</f>
        <v/>
      </c>
      <c r="I174" s="14">
        <f>IF(OR(ISBLANK(D174), D174=""), "Unassigned", D174)</f>
        <v/>
      </c>
      <c r="J174" s="13">
        <f>IF(G174&lt;0, "CREDIT / ADJUSTMENT", "STANDARD USAGE")</f>
        <v/>
      </c>
    </row>
    <row r="175">
      <c r="A175" s="13">
        <f>'Raw Enterprise Billing Data'!A175</f>
        <v/>
      </c>
      <c r="B175" s="13">
        <f>'Raw Enterprise Billing Data'!B175</f>
        <v/>
      </c>
      <c r="C175" s="13">
        <f>'Raw Enterprise Billing Data'!C175</f>
        <v/>
      </c>
      <c r="D175" s="14">
        <f>'Raw Enterprise Billing Data'!D175</f>
        <v/>
      </c>
      <c r="E175" s="13">
        <f>'Raw Enterprise Billing Data'!E175</f>
        <v/>
      </c>
      <c r="F175" s="14">
        <f>'Raw Enterprise Billing Data'!F175</f>
        <v/>
      </c>
      <c r="G175" s="15">
        <f>'Raw Enterprise Billing Data'!H175</f>
        <v/>
      </c>
      <c r="H175" s="13">
        <f>IF(COUNTIF($A$5:$A$499, A175)&gt;1, "⚠️ DUPLICATE", "UNIQUE")</f>
        <v/>
      </c>
      <c r="I175" s="14">
        <f>IF(OR(ISBLANK(D175), D175=""), "Unassigned", D175)</f>
        <v/>
      </c>
      <c r="J175" s="13">
        <f>IF(G175&lt;0, "CREDIT / ADJUSTMENT", "STANDARD USAGE")</f>
        <v/>
      </c>
    </row>
    <row r="176">
      <c r="A176" s="13">
        <f>'Raw Enterprise Billing Data'!A176</f>
        <v/>
      </c>
      <c r="B176" s="13">
        <f>'Raw Enterprise Billing Data'!B176</f>
        <v/>
      </c>
      <c r="C176" s="13">
        <f>'Raw Enterprise Billing Data'!C176</f>
        <v/>
      </c>
      <c r="D176" s="14">
        <f>'Raw Enterprise Billing Data'!D176</f>
        <v/>
      </c>
      <c r="E176" s="13">
        <f>'Raw Enterprise Billing Data'!E176</f>
        <v/>
      </c>
      <c r="F176" s="14">
        <f>'Raw Enterprise Billing Data'!F176</f>
        <v/>
      </c>
      <c r="G176" s="15">
        <f>'Raw Enterprise Billing Data'!H176</f>
        <v/>
      </c>
      <c r="H176" s="13">
        <f>IF(COUNTIF($A$5:$A$499, A176)&gt;1, "⚠️ DUPLICATE", "UNIQUE")</f>
        <v/>
      </c>
      <c r="I176" s="14">
        <f>IF(OR(ISBLANK(D176), D176=""), "Unassigned", D176)</f>
        <v/>
      </c>
      <c r="J176" s="13">
        <f>IF(G176&lt;0, "CREDIT / ADJUSTMENT", "STANDARD USAGE")</f>
        <v/>
      </c>
    </row>
    <row r="177">
      <c r="A177" s="13">
        <f>'Raw Enterprise Billing Data'!A177</f>
        <v/>
      </c>
      <c r="B177" s="13">
        <f>'Raw Enterprise Billing Data'!B177</f>
        <v/>
      </c>
      <c r="C177" s="13">
        <f>'Raw Enterprise Billing Data'!C177</f>
        <v/>
      </c>
      <c r="D177" s="14">
        <f>'Raw Enterprise Billing Data'!D177</f>
        <v/>
      </c>
      <c r="E177" s="13">
        <f>'Raw Enterprise Billing Data'!E177</f>
        <v/>
      </c>
      <c r="F177" s="14">
        <f>'Raw Enterprise Billing Data'!F177</f>
        <v/>
      </c>
      <c r="G177" s="15">
        <f>'Raw Enterprise Billing Data'!H177</f>
        <v/>
      </c>
      <c r="H177" s="13">
        <f>IF(COUNTIF($A$5:$A$499, A177)&gt;1, "⚠️ DUPLICATE", "UNIQUE")</f>
        <v/>
      </c>
      <c r="I177" s="14">
        <f>IF(OR(ISBLANK(D177), D177=""), "Unassigned", D177)</f>
        <v/>
      </c>
      <c r="J177" s="13">
        <f>IF(G177&lt;0, "CREDIT / ADJUSTMENT", "STANDARD USAGE")</f>
        <v/>
      </c>
    </row>
    <row r="178">
      <c r="A178" s="13">
        <f>'Raw Enterprise Billing Data'!A178</f>
        <v/>
      </c>
      <c r="B178" s="13">
        <f>'Raw Enterprise Billing Data'!B178</f>
        <v/>
      </c>
      <c r="C178" s="13">
        <f>'Raw Enterprise Billing Data'!C178</f>
        <v/>
      </c>
      <c r="D178" s="14">
        <f>'Raw Enterprise Billing Data'!D178</f>
        <v/>
      </c>
      <c r="E178" s="13">
        <f>'Raw Enterprise Billing Data'!E178</f>
        <v/>
      </c>
      <c r="F178" s="14">
        <f>'Raw Enterprise Billing Data'!F178</f>
        <v/>
      </c>
      <c r="G178" s="15">
        <f>'Raw Enterprise Billing Data'!H178</f>
        <v/>
      </c>
      <c r="H178" s="13">
        <f>IF(COUNTIF($A$5:$A$499, A178)&gt;1, "⚠️ DUPLICATE", "UNIQUE")</f>
        <v/>
      </c>
      <c r="I178" s="14">
        <f>IF(OR(ISBLANK(D178), D178=""), "Unassigned", D178)</f>
        <v/>
      </c>
      <c r="J178" s="13">
        <f>IF(G178&lt;0, "CREDIT / ADJUSTMENT", "STANDARD USAGE")</f>
        <v/>
      </c>
    </row>
    <row r="179">
      <c r="A179" s="13">
        <f>'Raw Enterprise Billing Data'!A179</f>
        <v/>
      </c>
      <c r="B179" s="13">
        <f>'Raw Enterprise Billing Data'!B179</f>
        <v/>
      </c>
      <c r="C179" s="13">
        <f>'Raw Enterprise Billing Data'!C179</f>
        <v/>
      </c>
      <c r="D179" s="14">
        <f>'Raw Enterprise Billing Data'!D179</f>
        <v/>
      </c>
      <c r="E179" s="13">
        <f>'Raw Enterprise Billing Data'!E179</f>
        <v/>
      </c>
      <c r="F179" s="14">
        <f>'Raw Enterprise Billing Data'!F179</f>
        <v/>
      </c>
      <c r="G179" s="15">
        <f>'Raw Enterprise Billing Data'!H179</f>
        <v/>
      </c>
      <c r="H179" s="13">
        <f>IF(COUNTIF($A$5:$A$499, A179)&gt;1, "⚠️ DUPLICATE", "UNIQUE")</f>
        <v/>
      </c>
      <c r="I179" s="14">
        <f>IF(OR(ISBLANK(D179), D179=""), "Unassigned", D179)</f>
        <v/>
      </c>
      <c r="J179" s="13">
        <f>IF(G179&lt;0, "CREDIT / ADJUSTMENT", "STANDARD USAGE")</f>
        <v/>
      </c>
    </row>
    <row r="180">
      <c r="A180" s="13">
        <f>'Raw Enterprise Billing Data'!A180</f>
        <v/>
      </c>
      <c r="B180" s="13">
        <f>'Raw Enterprise Billing Data'!B180</f>
        <v/>
      </c>
      <c r="C180" s="13">
        <f>'Raw Enterprise Billing Data'!C180</f>
        <v/>
      </c>
      <c r="D180" s="14">
        <f>'Raw Enterprise Billing Data'!D180</f>
        <v/>
      </c>
      <c r="E180" s="13">
        <f>'Raw Enterprise Billing Data'!E180</f>
        <v/>
      </c>
      <c r="F180" s="14">
        <f>'Raw Enterprise Billing Data'!F180</f>
        <v/>
      </c>
      <c r="G180" s="15">
        <f>'Raw Enterprise Billing Data'!H180</f>
        <v/>
      </c>
      <c r="H180" s="13">
        <f>IF(COUNTIF($A$5:$A$499, A180)&gt;1, "⚠️ DUPLICATE", "UNIQUE")</f>
        <v/>
      </c>
      <c r="I180" s="14">
        <f>IF(OR(ISBLANK(D180), D180=""), "Unassigned", D180)</f>
        <v/>
      </c>
      <c r="J180" s="13">
        <f>IF(G180&lt;0, "CREDIT / ADJUSTMENT", "STANDARD USAGE")</f>
        <v/>
      </c>
    </row>
    <row r="181">
      <c r="A181" s="13">
        <f>'Raw Enterprise Billing Data'!A181</f>
        <v/>
      </c>
      <c r="B181" s="13">
        <f>'Raw Enterprise Billing Data'!B181</f>
        <v/>
      </c>
      <c r="C181" s="13">
        <f>'Raw Enterprise Billing Data'!C181</f>
        <v/>
      </c>
      <c r="D181" s="14">
        <f>'Raw Enterprise Billing Data'!D181</f>
        <v/>
      </c>
      <c r="E181" s="13">
        <f>'Raw Enterprise Billing Data'!E181</f>
        <v/>
      </c>
      <c r="F181" s="14">
        <f>'Raw Enterprise Billing Data'!F181</f>
        <v/>
      </c>
      <c r="G181" s="15">
        <f>'Raw Enterprise Billing Data'!H181</f>
        <v/>
      </c>
      <c r="H181" s="13">
        <f>IF(COUNTIF($A$5:$A$499, A181)&gt;1, "⚠️ DUPLICATE", "UNIQUE")</f>
        <v/>
      </c>
      <c r="I181" s="14">
        <f>IF(OR(ISBLANK(D181), D181=""), "Unassigned", D181)</f>
        <v/>
      </c>
      <c r="J181" s="13">
        <f>IF(G181&lt;0, "CREDIT / ADJUSTMENT", "STANDARD USAGE")</f>
        <v/>
      </c>
    </row>
    <row r="182">
      <c r="A182" s="13">
        <f>'Raw Enterprise Billing Data'!A182</f>
        <v/>
      </c>
      <c r="B182" s="13">
        <f>'Raw Enterprise Billing Data'!B182</f>
        <v/>
      </c>
      <c r="C182" s="13">
        <f>'Raw Enterprise Billing Data'!C182</f>
        <v/>
      </c>
      <c r="D182" s="14">
        <f>'Raw Enterprise Billing Data'!D182</f>
        <v/>
      </c>
      <c r="E182" s="13">
        <f>'Raw Enterprise Billing Data'!E182</f>
        <v/>
      </c>
      <c r="F182" s="14">
        <f>'Raw Enterprise Billing Data'!F182</f>
        <v/>
      </c>
      <c r="G182" s="15">
        <f>'Raw Enterprise Billing Data'!H182</f>
        <v/>
      </c>
      <c r="H182" s="13">
        <f>IF(COUNTIF($A$5:$A$499, A182)&gt;1, "⚠️ DUPLICATE", "UNIQUE")</f>
        <v/>
      </c>
      <c r="I182" s="14">
        <f>IF(OR(ISBLANK(D182), D182=""), "Unassigned", D182)</f>
        <v/>
      </c>
      <c r="J182" s="13">
        <f>IF(G182&lt;0, "CREDIT / ADJUSTMENT", "STANDARD USAGE")</f>
        <v/>
      </c>
    </row>
    <row r="183">
      <c r="A183" s="13">
        <f>'Raw Enterprise Billing Data'!A183</f>
        <v/>
      </c>
      <c r="B183" s="13">
        <f>'Raw Enterprise Billing Data'!B183</f>
        <v/>
      </c>
      <c r="C183" s="13">
        <f>'Raw Enterprise Billing Data'!C183</f>
        <v/>
      </c>
      <c r="D183" s="14">
        <f>'Raw Enterprise Billing Data'!D183</f>
        <v/>
      </c>
      <c r="E183" s="13">
        <f>'Raw Enterprise Billing Data'!E183</f>
        <v/>
      </c>
      <c r="F183" s="14">
        <f>'Raw Enterprise Billing Data'!F183</f>
        <v/>
      </c>
      <c r="G183" s="15">
        <f>'Raw Enterprise Billing Data'!H183</f>
        <v/>
      </c>
      <c r="H183" s="13">
        <f>IF(COUNTIF($A$5:$A$499, A183)&gt;1, "⚠️ DUPLICATE", "UNIQUE")</f>
        <v/>
      </c>
      <c r="I183" s="14">
        <f>IF(OR(ISBLANK(D183), D183=""), "Unassigned", D183)</f>
        <v/>
      </c>
      <c r="J183" s="13">
        <f>IF(G183&lt;0, "CREDIT / ADJUSTMENT", "STANDARD USAGE")</f>
        <v/>
      </c>
    </row>
    <row r="184">
      <c r="A184" s="13">
        <f>'Raw Enterprise Billing Data'!A184</f>
        <v/>
      </c>
      <c r="B184" s="13">
        <f>'Raw Enterprise Billing Data'!B184</f>
        <v/>
      </c>
      <c r="C184" s="13">
        <f>'Raw Enterprise Billing Data'!C184</f>
        <v/>
      </c>
      <c r="D184" s="14">
        <f>'Raw Enterprise Billing Data'!D184</f>
        <v/>
      </c>
      <c r="E184" s="13">
        <f>'Raw Enterprise Billing Data'!E184</f>
        <v/>
      </c>
      <c r="F184" s="14">
        <f>'Raw Enterprise Billing Data'!F184</f>
        <v/>
      </c>
      <c r="G184" s="15">
        <f>'Raw Enterprise Billing Data'!H184</f>
        <v/>
      </c>
      <c r="H184" s="13">
        <f>IF(COUNTIF($A$5:$A$499, A184)&gt;1, "⚠️ DUPLICATE", "UNIQUE")</f>
        <v/>
      </c>
      <c r="I184" s="14">
        <f>IF(OR(ISBLANK(D184), D184=""), "Unassigned", D184)</f>
        <v/>
      </c>
      <c r="J184" s="13">
        <f>IF(G184&lt;0, "CREDIT / ADJUSTMENT", "STANDARD USAGE")</f>
        <v/>
      </c>
    </row>
    <row r="185">
      <c r="A185" s="13">
        <f>'Raw Enterprise Billing Data'!A185</f>
        <v/>
      </c>
      <c r="B185" s="13">
        <f>'Raw Enterprise Billing Data'!B185</f>
        <v/>
      </c>
      <c r="C185" s="13">
        <f>'Raw Enterprise Billing Data'!C185</f>
        <v/>
      </c>
      <c r="D185" s="14">
        <f>'Raw Enterprise Billing Data'!D185</f>
        <v/>
      </c>
      <c r="E185" s="13">
        <f>'Raw Enterprise Billing Data'!E185</f>
        <v/>
      </c>
      <c r="F185" s="14">
        <f>'Raw Enterprise Billing Data'!F185</f>
        <v/>
      </c>
      <c r="G185" s="15">
        <f>'Raw Enterprise Billing Data'!H185</f>
        <v/>
      </c>
      <c r="H185" s="13">
        <f>IF(COUNTIF($A$5:$A$499, A185)&gt;1, "⚠️ DUPLICATE", "UNIQUE")</f>
        <v/>
      </c>
      <c r="I185" s="14">
        <f>IF(OR(ISBLANK(D185), D185=""), "Unassigned", D185)</f>
        <v/>
      </c>
      <c r="J185" s="13">
        <f>IF(G185&lt;0, "CREDIT / ADJUSTMENT", "STANDARD USAGE")</f>
        <v/>
      </c>
    </row>
    <row r="186">
      <c r="A186" s="13">
        <f>'Raw Enterprise Billing Data'!A186</f>
        <v/>
      </c>
      <c r="B186" s="13">
        <f>'Raw Enterprise Billing Data'!B186</f>
        <v/>
      </c>
      <c r="C186" s="13">
        <f>'Raw Enterprise Billing Data'!C186</f>
        <v/>
      </c>
      <c r="D186" s="14">
        <f>'Raw Enterprise Billing Data'!D186</f>
        <v/>
      </c>
      <c r="E186" s="13">
        <f>'Raw Enterprise Billing Data'!E186</f>
        <v/>
      </c>
      <c r="F186" s="14">
        <f>'Raw Enterprise Billing Data'!F186</f>
        <v/>
      </c>
      <c r="G186" s="15">
        <f>'Raw Enterprise Billing Data'!H186</f>
        <v/>
      </c>
      <c r="H186" s="13">
        <f>IF(COUNTIF($A$5:$A$499, A186)&gt;1, "⚠️ DUPLICATE", "UNIQUE")</f>
        <v/>
      </c>
      <c r="I186" s="14">
        <f>IF(OR(ISBLANK(D186), D186=""), "Unassigned", D186)</f>
        <v/>
      </c>
      <c r="J186" s="13">
        <f>IF(G186&lt;0, "CREDIT / ADJUSTMENT", "STANDARD USAGE")</f>
        <v/>
      </c>
    </row>
    <row r="187">
      <c r="A187" s="13">
        <f>'Raw Enterprise Billing Data'!A187</f>
        <v/>
      </c>
      <c r="B187" s="13">
        <f>'Raw Enterprise Billing Data'!B187</f>
        <v/>
      </c>
      <c r="C187" s="13">
        <f>'Raw Enterprise Billing Data'!C187</f>
        <v/>
      </c>
      <c r="D187" s="14">
        <f>'Raw Enterprise Billing Data'!D187</f>
        <v/>
      </c>
      <c r="E187" s="13">
        <f>'Raw Enterprise Billing Data'!E187</f>
        <v/>
      </c>
      <c r="F187" s="14">
        <f>'Raw Enterprise Billing Data'!F187</f>
        <v/>
      </c>
      <c r="G187" s="15">
        <f>'Raw Enterprise Billing Data'!H187</f>
        <v/>
      </c>
      <c r="H187" s="13">
        <f>IF(COUNTIF($A$5:$A$499, A187)&gt;1, "⚠️ DUPLICATE", "UNIQUE")</f>
        <v/>
      </c>
      <c r="I187" s="14">
        <f>IF(OR(ISBLANK(D187), D187=""), "Unassigned", D187)</f>
        <v/>
      </c>
      <c r="J187" s="13">
        <f>IF(G187&lt;0, "CREDIT / ADJUSTMENT", "STANDARD USAGE")</f>
        <v/>
      </c>
    </row>
    <row r="188">
      <c r="A188" s="13">
        <f>'Raw Enterprise Billing Data'!A188</f>
        <v/>
      </c>
      <c r="B188" s="13">
        <f>'Raw Enterprise Billing Data'!B188</f>
        <v/>
      </c>
      <c r="C188" s="13">
        <f>'Raw Enterprise Billing Data'!C188</f>
        <v/>
      </c>
      <c r="D188" s="14">
        <f>'Raw Enterprise Billing Data'!D188</f>
        <v/>
      </c>
      <c r="E188" s="13">
        <f>'Raw Enterprise Billing Data'!E188</f>
        <v/>
      </c>
      <c r="F188" s="14">
        <f>'Raw Enterprise Billing Data'!F188</f>
        <v/>
      </c>
      <c r="G188" s="15">
        <f>'Raw Enterprise Billing Data'!H188</f>
        <v/>
      </c>
      <c r="H188" s="13">
        <f>IF(COUNTIF($A$5:$A$499, A188)&gt;1, "⚠️ DUPLICATE", "UNIQUE")</f>
        <v/>
      </c>
      <c r="I188" s="14">
        <f>IF(OR(ISBLANK(D188), D188=""), "Unassigned", D188)</f>
        <v/>
      </c>
      <c r="J188" s="13">
        <f>IF(G188&lt;0, "CREDIT / ADJUSTMENT", "STANDARD USAGE")</f>
        <v/>
      </c>
    </row>
    <row r="189">
      <c r="A189" s="13">
        <f>'Raw Enterprise Billing Data'!A189</f>
        <v/>
      </c>
      <c r="B189" s="13">
        <f>'Raw Enterprise Billing Data'!B189</f>
        <v/>
      </c>
      <c r="C189" s="13">
        <f>'Raw Enterprise Billing Data'!C189</f>
        <v/>
      </c>
      <c r="D189" s="14">
        <f>'Raw Enterprise Billing Data'!D189</f>
        <v/>
      </c>
      <c r="E189" s="13">
        <f>'Raw Enterprise Billing Data'!E189</f>
        <v/>
      </c>
      <c r="F189" s="14">
        <f>'Raw Enterprise Billing Data'!F189</f>
        <v/>
      </c>
      <c r="G189" s="15">
        <f>'Raw Enterprise Billing Data'!H189</f>
        <v/>
      </c>
      <c r="H189" s="13">
        <f>IF(COUNTIF($A$5:$A$499, A189)&gt;1, "⚠️ DUPLICATE", "UNIQUE")</f>
        <v/>
      </c>
      <c r="I189" s="14">
        <f>IF(OR(ISBLANK(D189), D189=""), "Unassigned", D189)</f>
        <v/>
      </c>
      <c r="J189" s="13">
        <f>IF(G189&lt;0, "CREDIT / ADJUSTMENT", "STANDARD USAGE")</f>
        <v/>
      </c>
    </row>
    <row r="190">
      <c r="A190" s="13">
        <f>'Raw Enterprise Billing Data'!A190</f>
        <v/>
      </c>
      <c r="B190" s="13">
        <f>'Raw Enterprise Billing Data'!B190</f>
        <v/>
      </c>
      <c r="C190" s="13">
        <f>'Raw Enterprise Billing Data'!C190</f>
        <v/>
      </c>
      <c r="D190" s="14">
        <f>'Raw Enterprise Billing Data'!D190</f>
        <v/>
      </c>
      <c r="E190" s="13">
        <f>'Raw Enterprise Billing Data'!E190</f>
        <v/>
      </c>
      <c r="F190" s="14">
        <f>'Raw Enterprise Billing Data'!F190</f>
        <v/>
      </c>
      <c r="G190" s="15">
        <f>'Raw Enterprise Billing Data'!H190</f>
        <v/>
      </c>
      <c r="H190" s="13">
        <f>IF(COUNTIF($A$5:$A$499, A190)&gt;1, "⚠️ DUPLICATE", "UNIQUE")</f>
        <v/>
      </c>
      <c r="I190" s="14">
        <f>IF(OR(ISBLANK(D190), D190=""), "Unassigned", D190)</f>
        <v/>
      </c>
      <c r="J190" s="13">
        <f>IF(G190&lt;0, "CREDIT / ADJUSTMENT", "STANDARD USAGE")</f>
        <v/>
      </c>
    </row>
    <row r="191">
      <c r="A191" s="13">
        <f>'Raw Enterprise Billing Data'!A191</f>
        <v/>
      </c>
      <c r="B191" s="13">
        <f>'Raw Enterprise Billing Data'!B191</f>
        <v/>
      </c>
      <c r="C191" s="13">
        <f>'Raw Enterprise Billing Data'!C191</f>
        <v/>
      </c>
      <c r="D191" s="14">
        <f>'Raw Enterprise Billing Data'!D191</f>
        <v/>
      </c>
      <c r="E191" s="13">
        <f>'Raw Enterprise Billing Data'!E191</f>
        <v/>
      </c>
      <c r="F191" s="14">
        <f>'Raw Enterprise Billing Data'!F191</f>
        <v/>
      </c>
      <c r="G191" s="15">
        <f>'Raw Enterprise Billing Data'!H191</f>
        <v/>
      </c>
      <c r="H191" s="13">
        <f>IF(COUNTIF($A$5:$A$499, A191)&gt;1, "⚠️ DUPLICATE", "UNIQUE")</f>
        <v/>
      </c>
      <c r="I191" s="14">
        <f>IF(OR(ISBLANK(D191), D191=""), "Unassigned", D191)</f>
        <v/>
      </c>
      <c r="J191" s="13">
        <f>IF(G191&lt;0, "CREDIT / ADJUSTMENT", "STANDARD USAGE")</f>
        <v/>
      </c>
    </row>
    <row r="192">
      <c r="A192" s="13">
        <f>'Raw Enterprise Billing Data'!A192</f>
        <v/>
      </c>
      <c r="B192" s="13">
        <f>'Raw Enterprise Billing Data'!B192</f>
        <v/>
      </c>
      <c r="C192" s="13">
        <f>'Raw Enterprise Billing Data'!C192</f>
        <v/>
      </c>
      <c r="D192" s="14">
        <f>'Raw Enterprise Billing Data'!D192</f>
        <v/>
      </c>
      <c r="E192" s="13">
        <f>'Raw Enterprise Billing Data'!E192</f>
        <v/>
      </c>
      <c r="F192" s="14">
        <f>'Raw Enterprise Billing Data'!F192</f>
        <v/>
      </c>
      <c r="G192" s="15">
        <f>'Raw Enterprise Billing Data'!H192</f>
        <v/>
      </c>
      <c r="H192" s="13">
        <f>IF(COUNTIF($A$5:$A$499, A192)&gt;1, "⚠️ DUPLICATE", "UNIQUE")</f>
        <v/>
      </c>
      <c r="I192" s="14">
        <f>IF(OR(ISBLANK(D192), D192=""), "Unassigned", D192)</f>
        <v/>
      </c>
      <c r="J192" s="13">
        <f>IF(G192&lt;0, "CREDIT / ADJUSTMENT", "STANDARD USAGE")</f>
        <v/>
      </c>
    </row>
    <row r="193">
      <c r="A193" s="13">
        <f>'Raw Enterprise Billing Data'!A193</f>
        <v/>
      </c>
      <c r="B193" s="13">
        <f>'Raw Enterprise Billing Data'!B193</f>
        <v/>
      </c>
      <c r="C193" s="13">
        <f>'Raw Enterprise Billing Data'!C193</f>
        <v/>
      </c>
      <c r="D193" s="14">
        <f>'Raw Enterprise Billing Data'!D193</f>
        <v/>
      </c>
      <c r="E193" s="13">
        <f>'Raw Enterprise Billing Data'!E193</f>
        <v/>
      </c>
      <c r="F193" s="14">
        <f>'Raw Enterprise Billing Data'!F193</f>
        <v/>
      </c>
      <c r="G193" s="15">
        <f>'Raw Enterprise Billing Data'!H193</f>
        <v/>
      </c>
      <c r="H193" s="13">
        <f>IF(COUNTIF($A$5:$A$499, A193)&gt;1, "⚠️ DUPLICATE", "UNIQUE")</f>
        <v/>
      </c>
      <c r="I193" s="14">
        <f>IF(OR(ISBLANK(D193), D193=""), "Unassigned", D193)</f>
        <v/>
      </c>
      <c r="J193" s="13">
        <f>IF(G193&lt;0, "CREDIT / ADJUSTMENT", "STANDARD USAGE")</f>
        <v/>
      </c>
    </row>
    <row r="194">
      <c r="A194" s="13">
        <f>'Raw Enterprise Billing Data'!A194</f>
        <v/>
      </c>
      <c r="B194" s="13">
        <f>'Raw Enterprise Billing Data'!B194</f>
        <v/>
      </c>
      <c r="C194" s="13">
        <f>'Raw Enterprise Billing Data'!C194</f>
        <v/>
      </c>
      <c r="D194" s="14">
        <f>'Raw Enterprise Billing Data'!D194</f>
        <v/>
      </c>
      <c r="E194" s="13">
        <f>'Raw Enterprise Billing Data'!E194</f>
        <v/>
      </c>
      <c r="F194" s="14">
        <f>'Raw Enterprise Billing Data'!F194</f>
        <v/>
      </c>
      <c r="G194" s="15">
        <f>'Raw Enterprise Billing Data'!H194</f>
        <v/>
      </c>
      <c r="H194" s="13">
        <f>IF(COUNTIF($A$5:$A$499, A194)&gt;1, "⚠️ DUPLICATE", "UNIQUE")</f>
        <v/>
      </c>
      <c r="I194" s="14">
        <f>IF(OR(ISBLANK(D194), D194=""), "Unassigned", D194)</f>
        <v/>
      </c>
      <c r="J194" s="13">
        <f>IF(G194&lt;0, "CREDIT / ADJUSTMENT", "STANDARD USAGE")</f>
        <v/>
      </c>
    </row>
    <row r="195">
      <c r="A195" s="13">
        <f>'Raw Enterprise Billing Data'!A195</f>
        <v/>
      </c>
      <c r="B195" s="13">
        <f>'Raw Enterprise Billing Data'!B195</f>
        <v/>
      </c>
      <c r="C195" s="13">
        <f>'Raw Enterprise Billing Data'!C195</f>
        <v/>
      </c>
      <c r="D195" s="14">
        <f>'Raw Enterprise Billing Data'!D195</f>
        <v/>
      </c>
      <c r="E195" s="13">
        <f>'Raw Enterprise Billing Data'!E195</f>
        <v/>
      </c>
      <c r="F195" s="14">
        <f>'Raw Enterprise Billing Data'!F195</f>
        <v/>
      </c>
      <c r="G195" s="15">
        <f>'Raw Enterprise Billing Data'!H195</f>
        <v/>
      </c>
      <c r="H195" s="13">
        <f>IF(COUNTIF($A$5:$A$499, A195)&gt;1, "⚠️ DUPLICATE", "UNIQUE")</f>
        <v/>
      </c>
      <c r="I195" s="14">
        <f>IF(OR(ISBLANK(D195), D195=""), "Unassigned", D195)</f>
        <v/>
      </c>
      <c r="J195" s="13">
        <f>IF(G195&lt;0, "CREDIT / ADJUSTMENT", "STANDARD USAGE")</f>
        <v/>
      </c>
    </row>
    <row r="196">
      <c r="A196" s="13">
        <f>'Raw Enterprise Billing Data'!A196</f>
        <v/>
      </c>
      <c r="B196" s="13">
        <f>'Raw Enterprise Billing Data'!B196</f>
        <v/>
      </c>
      <c r="C196" s="13">
        <f>'Raw Enterprise Billing Data'!C196</f>
        <v/>
      </c>
      <c r="D196" s="14">
        <f>'Raw Enterprise Billing Data'!D196</f>
        <v/>
      </c>
      <c r="E196" s="13">
        <f>'Raw Enterprise Billing Data'!E196</f>
        <v/>
      </c>
      <c r="F196" s="14">
        <f>'Raw Enterprise Billing Data'!F196</f>
        <v/>
      </c>
      <c r="G196" s="15">
        <f>'Raw Enterprise Billing Data'!H196</f>
        <v/>
      </c>
      <c r="H196" s="13">
        <f>IF(COUNTIF($A$5:$A$499, A196)&gt;1, "⚠️ DUPLICATE", "UNIQUE")</f>
        <v/>
      </c>
      <c r="I196" s="14">
        <f>IF(OR(ISBLANK(D196), D196=""), "Unassigned", D196)</f>
        <v/>
      </c>
      <c r="J196" s="13">
        <f>IF(G196&lt;0, "CREDIT / ADJUSTMENT", "STANDARD USAGE")</f>
        <v/>
      </c>
    </row>
    <row r="197">
      <c r="A197" s="13">
        <f>'Raw Enterprise Billing Data'!A197</f>
        <v/>
      </c>
      <c r="B197" s="13">
        <f>'Raw Enterprise Billing Data'!B197</f>
        <v/>
      </c>
      <c r="C197" s="13">
        <f>'Raw Enterprise Billing Data'!C197</f>
        <v/>
      </c>
      <c r="D197" s="14">
        <f>'Raw Enterprise Billing Data'!D197</f>
        <v/>
      </c>
      <c r="E197" s="13">
        <f>'Raw Enterprise Billing Data'!E197</f>
        <v/>
      </c>
      <c r="F197" s="14">
        <f>'Raw Enterprise Billing Data'!F197</f>
        <v/>
      </c>
      <c r="G197" s="15">
        <f>'Raw Enterprise Billing Data'!H197</f>
        <v/>
      </c>
      <c r="H197" s="13">
        <f>IF(COUNTIF($A$5:$A$499, A197)&gt;1, "⚠️ DUPLICATE", "UNIQUE")</f>
        <v/>
      </c>
      <c r="I197" s="14">
        <f>IF(OR(ISBLANK(D197), D197=""), "Unassigned", D197)</f>
        <v/>
      </c>
      <c r="J197" s="13">
        <f>IF(G197&lt;0, "CREDIT / ADJUSTMENT", "STANDARD USAGE")</f>
        <v/>
      </c>
    </row>
    <row r="198">
      <c r="A198" s="13">
        <f>'Raw Enterprise Billing Data'!A198</f>
        <v/>
      </c>
      <c r="B198" s="13">
        <f>'Raw Enterprise Billing Data'!B198</f>
        <v/>
      </c>
      <c r="C198" s="13">
        <f>'Raw Enterprise Billing Data'!C198</f>
        <v/>
      </c>
      <c r="D198" s="14">
        <f>'Raw Enterprise Billing Data'!D198</f>
        <v/>
      </c>
      <c r="E198" s="13">
        <f>'Raw Enterprise Billing Data'!E198</f>
        <v/>
      </c>
      <c r="F198" s="14">
        <f>'Raw Enterprise Billing Data'!F198</f>
        <v/>
      </c>
      <c r="G198" s="15">
        <f>'Raw Enterprise Billing Data'!H198</f>
        <v/>
      </c>
      <c r="H198" s="13">
        <f>IF(COUNTIF($A$5:$A$499, A198)&gt;1, "⚠️ DUPLICATE", "UNIQUE")</f>
        <v/>
      </c>
      <c r="I198" s="14">
        <f>IF(OR(ISBLANK(D198), D198=""), "Unassigned", D198)</f>
        <v/>
      </c>
      <c r="J198" s="13">
        <f>IF(G198&lt;0, "CREDIT / ADJUSTMENT", "STANDARD USAGE")</f>
        <v/>
      </c>
    </row>
    <row r="199">
      <c r="A199" s="13">
        <f>'Raw Enterprise Billing Data'!A199</f>
        <v/>
      </c>
      <c r="B199" s="13">
        <f>'Raw Enterprise Billing Data'!B199</f>
        <v/>
      </c>
      <c r="C199" s="13">
        <f>'Raw Enterprise Billing Data'!C199</f>
        <v/>
      </c>
      <c r="D199" s="14">
        <f>'Raw Enterprise Billing Data'!D199</f>
        <v/>
      </c>
      <c r="E199" s="13">
        <f>'Raw Enterprise Billing Data'!E199</f>
        <v/>
      </c>
      <c r="F199" s="14">
        <f>'Raw Enterprise Billing Data'!F199</f>
        <v/>
      </c>
      <c r="G199" s="15">
        <f>'Raw Enterprise Billing Data'!H199</f>
        <v/>
      </c>
      <c r="H199" s="13">
        <f>IF(COUNTIF($A$5:$A$499, A199)&gt;1, "⚠️ DUPLICATE", "UNIQUE")</f>
        <v/>
      </c>
      <c r="I199" s="14">
        <f>IF(OR(ISBLANK(D199), D199=""), "Unassigned", D199)</f>
        <v/>
      </c>
      <c r="J199" s="13">
        <f>IF(G199&lt;0, "CREDIT / ADJUSTMENT", "STANDARD USAGE")</f>
        <v/>
      </c>
    </row>
    <row r="200">
      <c r="A200" s="13">
        <f>'Raw Enterprise Billing Data'!A200</f>
        <v/>
      </c>
      <c r="B200" s="13">
        <f>'Raw Enterprise Billing Data'!B200</f>
        <v/>
      </c>
      <c r="C200" s="13">
        <f>'Raw Enterprise Billing Data'!C200</f>
        <v/>
      </c>
      <c r="D200" s="14">
        <f>'Raw Enterprise Billing Data'!D200</f>
        <v/>
      </c>
      <c r="E200" s="13">
        <f>'Raw Enterprise Billing Data'!E200</f>
        <v/>
      </c>
      <c r="F200" s="14">
        <f>'Raw Enterprise Billing Data'!F200</f>
        <v/>
      </c>
      <c r="G200" s="15">
        <f>'Raw Enterprise Billing Data'!H200</f>
        <v/>
      </c>
      <c r="H200" s="13">
        <f>IF(COUNTIF($A$5:$A$499, A200)&gt;1, "⚠️ DUPLICATE", "UNIQUE")</f>
        <v/>
      </c>
      <c r="I200" s="14">
        <f>IF(OR(ISBLANK(D200), D200=""), "Unassigned", D200)</f>
        <v/>
      </c>
      <c r="J200" s="13">
        <f>IF(G200&lt;0, "CREDIT / ADJUSTMENT", "STANDARD USAGE")</f>
        <v/>
      </c>
    </row>
    <row r="201">
      <c r="A201" s="13">
        <f>'Raw Enterprise Billing Data'!A201</f>
        <v/>
      </c>
      <c r="B201" s="13">
        <f>'Raw Enterprise Billing Data'!B201</f>
        <v/>
      </c>
      <c r="C201" s="13">
        <f>'Raw Enterprise Billing Data'!C201</f>
        <v/>
      </c>
      <c r="D201" s="14">
        <f>'Raw Enterprise Billing Data'!D201</f>
        <v/>
      </c>
      <c r="E201" s="13">
        <f>'Raw Enterprise Billing Data'!E201</f>
        <v/>
      </c>
      <c r="F201" s="14">
        <f>'Raw Enterprise Billing Data'!F201</f>
        <v/>
      </c>
      <c r="G201" s="15">
        <f>'Raw Enterprise Billing Data'!H201</f>
        <v/>
      </c>
      <c r="H201" s="13">
        <f>IF(COUNTIF($A$5:$A$499, A201)&gt;1, "⚠️ DUPLICATE", "UNIQUE")</f>
        <v/>
      </c>
      <c r="I201" s="14">
        <f>IF(OR(ISBLANK(D201), D201=""), "Unassigned", D201)</f>
        <v/>
      </c>
      <c r="J201" s="13">
        <f>IF(G201&lt;0, "CREDIT / ADJUSTMENT", "STANDARD USAGE")</f>
        <v/>
      </c>
    </row>
    <row r="202">
      <c r="A202" s="13">
        <f>'Raw Enterprise Billing Data'!A202</f>
        <v/>
      </c>
      <c r="B202" s="13">
        <f>'Raw Enterprise Billing Data'!B202</f>
        <v/>
      </c>
      <c r="C202" s="13">
        <f>'Raw Enterprise Billing Data'!C202</f>
        <v/>
      </c>
      <c r="D202" s="14">
        <f>'Raw Enterprise Billing Data'!D202</f>
        <v/>
      </c>
      <c r="E202" s="13">
        <f>'Raw Enterprise Billing Data'!E202</f>
        <v/>
      </c>
      <c r="F202" s="14">
        <f>'Raw Enterprise Billing Data'!F202</f>
        <v/>
      </c>
      <c r="G202" s="15">
        <f>'Raw Enterprise Billing Data'!H202</f>
        <v/>
      </c>
      <c r="H202" s="13">
        <f>IF(COUNTIF($A$5:$A$499, A202)&gt;1, "⚠️ DUPLICATE", "UNIQUE")</f>
        <v/>
      </c>
      <c r="I202" s="14">
        <f>IF(OR(ISBLANK(D202), D202=""), "Unassigned", D202)</f>
        <v/>
      </c>
      <c r="J202" s="13">
        <f>IF(G202&lt;0, "CREDIT / ADJUSTMENT", "STANDARD USAGE")</f>
        <v/>
      </c>
    </row>
    <row r="203">
      <c r="A203" s="13">
        <f>'Raw Enterprise Billing Data'!A203</f>
        <v/>
      </c>
      <c r="B203" s="13">
        <f>'Raw Enterprise Billing Data'!B203</f>
        <v/>
      </c>
      <c r="C203" s="13">
        <f>'Raw Enterprise Billing Data'!C203</f>
        <v/>
      </c>
      <c r="D203" s="14">
        <f>'Raw Enterprise Billing Data'!D203</f>
        <v/>
      </c>
      <c r="E203" s="13">
        <f>'Raw Enterprise Billing Data'!E203</f>
        <v/>
      </c>
      <c r="F203" s="14">
        <f>'Raw Enterprise Billing Data'!F203</f>
        <v/>
      </c>
      <c r="G203" s="15">
        <f>'Raw Enterprise Billing Data'!H203</f>
        <v/>
      </c>
      <c r="H203" s="13">
        <f>IF(COUNTIF($A$5:$A$499, A203)&gt;1, "⚠️ DUPLICATE", "UNIQUE")</f>
        <v/>
      </c>
      <c r="I203" s="14">
        <f>IF(OR(ISBLANK(D203), D203=""), "Unassigned", D203)</f>
        <v/>
      </c>
      <c r="J203" s="13">
        <f>IF(G203&lt;0, "CREDIT / ADJUSTMENT", "STANDARD USAGE")</f>
        <v/>
      </c>
    </row>
    <row r="204">
      <c r="A204" s="13">
        <f>'Raw Enterprise Billing Data'!A204</f>
        <v/>
      </c>
      <c r="B204" s="13">
        <f>'Raw Enterprise Billing Data'!B204</f>
        <v/>
      </c>
      <c r="C204" s="13">
        <f>'Raw Enterprise Billing Data'!C204</f>
        <v/>
      </c>
      <c r="D204" s="14">
        <f>'Raw Enterprise Billing Data'!D204</f>
        <v/>
      </c>
      <c r="E204" s="13">
        <f>'Raw Enterprise Billing Data'!E204</f>
        <v/>
      </c>
      <c r="F204" s="14">
        <f>'Raw Enterprise Billing Data'!F204</f>
        <v/>
      </c>
      <c r="G204" s="15">
        <f>'Raw Enterprise Billing Data'!H204</f>
        <v/>
      </c>
      <c r="H204" s="13">
        <f>IF(COUNTIF($A$5:$A$499, A204)&gt;1, "⚠️ DUPLICATE", "UNIQUE")</f>
        <v/>
      </c>
      <c r="I204" s="14">
        <f>IF(OR(ISBLANK(D204), D204=""), "Unassigned", D204)</f>
        <v/>
      </c>
      <c r="J204" s="13">
        <f>IF(G204&lt;0, "CREDIT / ADJUSTMENT", "STANDARD USAGE")</f>
        <v/>
      </c>
    </row>
    <row r="205">
      <c r="A205" s="13">
        <f>'Raw Enterprise Billing Data'!A205</f>
        <v/>
      </c>
      <c r="B205" s="13">
        <f>'Raw Enterprise Billing Data'!B205</f>
        <v/>
      </c>
      <c r="C205" s="13">
        <f>'Raw Enterprise Billing Data'!C205</f>
        <v/>
      </c>
      <c r="D205" s="14">
        <f>'Raw Enterprise Billing Data'!D205</f>
        <v/>
      </c>
      <c r="E205" s="13">
        <f>'Raw Enterprise Billing Data'!E205</f>
        <v/>
      </c>
      <c r="F205" s="14">
        <f>'Raw Enterprise Billing Data'!F205</f>
        <v/>
      </c>
      <c r="G205" s="15">
        <f>'Raw Enterprise Billing Data'!H205</f>
        <v/>
      </c>
      <c r="H205" s="13">
        <f>IF(COUNTIF($A$5:$A$499, A205)&gt;1, "⚠️ DUPLICATE", "UNIQUE")</f>
        <v/>
      </c>
      <c r="I205" s="14">
        <f>IF(OR(ISBLANK(D205), D205=""), "Unassigned", D205)</f>
        <v/>
      </c>
      <c r="J205" s="13">
        <f>IF(G205&lt;0, "CREDIT / ADJUSTMENT", "STANDARD USAGE")</f>
        <v/>
      </c>
    </row>
    <row r="206">
      <c r="A206" s="13">
        <f>'Raw Enterprise Billing Data'!A206</f>
        <v/>
      </c>
      <c r="B206" s="13">
        <f>'Raw Enterprise Billing Data'!B206</f>
        <v/>
      </c>
      <c r="C206" s="13">
        <f>'Raw Enterprise Billing Data'!C206</f>
        <v/>
      </c>
      <c r="D206" s="14">
        <f>'Raw Enterprise Billing Data'!D206</f>
        <v/>
      </c>
      <c r="E206" s="13">
        <f>'Raw Enterprise Billing Data'!E206</f>
        <v/>
      </c>
      <c r="F206" s="14">
        <f>'Raw Enterprise Billing Data'!F206</f>
        <v/>
      </c>
      <c r="G206" s="15">
        <f>'Raw Enterprise Billing Data'!H206</f>
        <v/>
      </c>
      <c r="H206" s="13">
        <f>IF(COUNTIF($A$5:$A$499, A206)&gt;1, "⚠️ DUPLICATE", "UNIQUE")</f>
        <v/>
      </c>
      <c r="I206" s="14">
        <f>IF(OR(ISBLANK(D206), D206=""), "Unassigned", D206)</f>
        <v/>
      </c>
      <c r="J206" s="13">
        <f>IF(G206&lt;0, "CREDIT / ADJUSTMENT", "STANDARD USAGE")</f>
        <v/>
      </c>
    </row>
    <row r="207">
      <c r="A207" s="13">
        <f>'Raw Enterprise Billing Data'!A207</f>
        <v/>
      </c>
      <c r="B207" s="13">
        <f>'Raw Enterprise Billing Data'!B207</f>
        <v/>
      </c>
      <c r="C207" s="13">
        <f>'Raw Enterprise Billing Data'!C207</f>
        <v/>
      </c>
      <c r="D207" s="14">
        <f>'Raw Enterprise Billing Data'!D207</f>
        <v/>
      </c>
      <c r="E207" s="13">
        <f>'Raw Enterprise Billing Data'!E207</f>
        <v/>
      </c>
      <c r="F207" s="14">
        <f>'Raw Enterprise Billing Data'!F207</f>
        <v/>
      </c>
      <c r="G207" s="15">
        <f>'Raw Enterprise Billing Data'!H207</f>
        <v/>
      </c>
      <c r="H207" s="13">
        <f>IF(COUNTIF($A$5:$A$499, A207)&gt;1, "⚠️ DUPLICATE", "UNIQUE")</f>
        <v/>
      </c>
      <c r="I207" s="14">
        <f>IF(OR(ISBLANK(D207), D207=""), "Unassigned", D207)</f>
        <v/>
      </c>
      <c r="J207" s="13">
        <f>IF(G207&lt;0, "CREDIT / ADJUSTMENT", "STANDARD USAGE")</f>
        <v/>
      </c>
    </row>
    <row r="208">
      <c r="A208" s="13">
        <f>'Raw Enterprise Billing Data'!A208</f>
        <v/>
      </c>
      <c r="B208" s="13">
        <f>'Raw Enterprise Billing Data'!B208</f>
        <v/>
      </c>
      <c r="C208" s="13">
        <f>'Raw Enterprise Billing Data'!C208</f>
        <v/>
      </c>
      <c r="D208" s="14">
        <f>'Raw Enterprise Billing Data'!D208</f>
        <v/>
      </c>
      <c r="E208" s="13">
        <f>'Raw Enterprise Billing Data'!E208</f>
        <v/>
      </c>
      <c r="F208" s="14">
        <f>'Raw Enterprise Billing Data'!F208</f>
        <v/>
      </c>
      <c r="G208" s="15">
        <f>'Raw Enterprise Billing Data'!H208</f>
        <v/>
      </c>
      <c r="H208" s="13">
        <f>IF(COUNTIF($A$5:$A$499, A208)&gt;1, "⚠️ DUPLICATE", "UNIQUE")</f>
        <v/>
      </c>
      <c r="I208" s="14">
        <f>IF(OR(ISBLANK(D208), D208=""), "Unassigned", D208)</f>
        <v/>
      </c>
      <c r="J208" s="13">
        <f>IF(G208&lt;0, "CREDIT / ADJUSTMENT", "STANDARD USAGE")</f>
        <v/>
      </c>
    </row>
    <row r="209">
      <c r="A209" s="13">
        <f>'Raw Enterprise Billing Data'!A209</f>
        <v/>
      </c>
      <c r="B209" s="13">
        <f>'Raw Enterprise Billing Data'!B209</f>
        <v/>
      </c>
      <c r="C209" s="13">
        <f>'Raw Enterprise Billing Data'!C209</f>
        <v/>
      </c>
      <c r="D209" s="14">
        <f>'Raw Enterprise Billing Data'!D209</f>
        <v/>
      </c>
      <c r="E209" s="13">
        <f>'Raw Enterprise Billing Data'!E209</f>
        <v/>
      </c>
      <c r="F209" s="14">
        <f>'Raw Enterprise Billing Data'!F209</f>
        <v/>
      </c>
      <c r="G209" s="15">
        <f>'Raw Enterprise Billing Data'!H209</f>
        <v/>
      </c>
      <c r="H209" s="13">
        <f>IF(COUNTIF($A$5:$A$499, A209)&gt;1, "⚠️ DUPLICATE", "UNIQUE")</f>
        <v/>
      </c>
      <c r="I209" s="14">
        <f>IF(OR(ISBLANK(D209), D209=""), "Unassigned", D209)</f>
        <v/>
      </c>
      <c r="J209" s="13">
        <f>IF(G209&lt;0, "CREDIT / ADJUSTMENT", "STANDARD USAGE")</f>
        <v/>
      </c>
    </row>
    <row r="210">
      <c r="A210" s="13">
        <f>'Raw Enterprise Billing Data'!A210</f>
        <v/>
      </c>
      <c r="B210" s="13">
        <f>'Raw Enterprise Billing Data'!B210</f>
        <v/>
      </c>
      <c r="C210" s="13">
        <f>'Raw Enterprise Billing Data'!C210</f>
        <v/>
      </c>
      <c r="D210" s="14">
        <f>'Raw Enterprise Billing Data'!D210</f>
        <v/>
      </c>
      <c r="E210" s="13">
        <f>'Raw Enterprise Billing Data'!E210</f>
        <v/>
      </c>
      <c r="F210" s="14">
        <f>'Raw Enterprise Billing Data'!F210</f>
        <v/>
      </c>
      <c r="G210" s="15">
        <f>'Raw Enterprise Billing Data'!H210</f>
        <v/>
      </c>
      <c r="H210" s="13">
        <f>IF(COUNTIF($A$5:$A$499, A210)&gt;1, "⚠️ DUPLICATE", "UNIQUE")</f>
        <v/>
      </c>
      <c r="I210" s="14">
        <f>IF(OR(ISBLANK(D210), D210=""), "Unassigned", D210)</f>
        <v/>
      </c>
      <c r="J210" s="13">
        <f>IF(G210&lt;0, "CREDIT / ADJUSTMENT", "STANDARD USAGE")</f>
        <v/>
      </c>
    </row>
    <row r="211">
      <c r="A211" s="13">
        <f>'Raw Enterprise Billing Data'!A211</f>
        <v/>
      </c>
      <c r="B211" s="13">
        <f>'Raw Enterprise Billing Data'!B211</f>
        <v/>
      </c>
      <c r="C211" s="13">
        <f>'Raw Enterprise Billing Data'!C211</f>
        <v/>
      </c>
      <c r="D211" s="14">
        <f>'Raw Enterprise Billing Data'!D211</f>
        <v/>
      </c>
      <c r="E211" s="13">
        <f>'Raw Enterprise Billing Data'!E211</f>
        <v/>
      </c>
      <c r="F211" s="14">
        <f>'Raw Enterprise Billing Data'!F211</f>
        <v/>
      </c>
      <c r="G211" s="15">
        <f>'Raw Enterprise Billing Data'!H211</f>
        <v/>
      </c>
      <c r="H211" s="13">
        <f>IF(COUNTIF($A$5:$A$499, A211)&gt;1, "⚠️ DUPLICATE", "UNIQUE")</f>
        <v/>
      </c>
      <c r="I211" s="14">
        <f>IF(OR(ISBLANK(D211), D211=""), "Unassigned", D211)</f>
        <v/>
      </c>
      <c r="J211" s="13">
        <f>IF(G211&lt;0, "CREDIT / ADJUSTMENT", "STANDARD USAGE")</f>
        <v/>
      </c>
    </row>
    <row r="212">
      <c r="A212" s="13">
        <f>'Raw Enterprise Billing Data'!A212</f>
        <v/>
      </c>
      <c r="B212" s="13">
        <f>'Raw Enterprise Billing Data'!B212</f>
        <v/>
      </c>
      <c r="C212" s="13">
        <f>'Raw Enterprise Billing Data'!C212</f>
        <v/>
      </c>
      <c r="D212" s="14">
        <f>'Raw Enterprise Billing Data'!D212</f>
        <v/>
      </c>
      <c r="E212" s="13">
        <f>'Raw Enterprise Billing Data'!E212</f>
        <v/>
      </c>
      <c r="F212" s="14">
        <f>'Raw Enterprise Billing Data'!F212</f>
        <v/>
      </c>
      <c r="G212" s="15">
        <f>'Raw Enterprise Billing Data'!H212</f>
        <v/>
      </c>
      <c r="H212" s="13">
        <f>IF(COUNTIF($A$5:$A$499, A212)&gt;1, "⚠️ DUPLICATE", "UNIQUE")</f>
        <v/>
      </c>
      <c r="I212" s="14">
        <f>IF(OR(ISBLANK(D212), D212=""), "Unassigned", D212)</f>
        <v/>
      </c>
      <c r="J212" s="13">
        <f>IF(G212&lt;0, "CREDIT / ADJUSTMENT", "STANDARD USAGE")</f>
        <v/>
      </c>
    </row>
    <row r="213">
      <c r="A213" s="13">
        <f>'Raw Enterprise Billing Data'!A213</f>
        <v/>
      </c>
      <c r="B213" s="13">
        <f>'Raw Enterprise Billing Data'!B213</f>
        <v/>
      </c>
      <c r="C213" s="13">
        <f>'Raw Enterprise Billing Data'!C213</f>
        <v/>
      </c>
      <c r="D213" s="14">
        <f>'Raw Enterprise Billing Data'!D213</f>
        <v/>
      </c>
      <c r="E213" s="13">
        <f>'Raw Enterprise Billing Data'!E213</f>
        <v/>
      </c>
      <c r="F213" s="14">
        <f>'Raw Enterprise Billing Data'!F213</f>
        <v/>
      </c>
      <c r="G213" s="15">
        <f>'Raw Enterprise Billing Data'!H213</f>
        <v/>
      </c>
      <c r="H213" s="13">
        <f>IF(COUNTIF($A$5:$A$499, A213)&gt;1, "⚠️ DUPLICATE", "UNIQUE")</f>
        <v/>
      </c>
      <c r="I213" s="14">
        <f>IF(OR(ISBLANK(D213), D213=""), "Unassigned", D213)</f>
        <v/>
      </c>
      <c r="J213" s="13">
        <f>IF(G213&lt;0, "CREDIT / ADJUSTMENT", "STANDARD USAGE")</f>
        <v/>
      </c>
    </row>
    <row r="214">
      <c r="A214" s="13">
        <f>'Raw Enterprise Billing Data'!A214</f>
        <v/>
      </c>
      <c r="B214" s="13">
        <f>'Raw Enterprise Billing Data'!B214</f>
        <v/>
      </c>
      <c r="C214" s="13">
        <f>'Raw Enterprise Billing Data'!C214</f>
        <v/>
      </c>
      <c r="D214" s="14">
        <f>'Raw Enterprise Billing Data'!D214</f>
        <v/>
      </c>
      <c r="E214" s="13">
        <f>'Raw Enterprise Billing Data'!E214</f>
        <v/>
      </c>
      <c r="F214" s="14">
        <f>'Raw Enterprise Billing Data'!F214</f>
        <v/>
      </c>
      <c r="G214" s="15">
        <f>'Raw Enterprise Billing Data'!H214</f>
        <v/>
      </c>
      <c r="H214" s="13">
        <f>IF(COUNTIF($A$5:$A$499, A214)&gt;1, "⚠️ DUPLICATE", "UNIQUE")</f>
        <v/>
      </c>
      <c r="I214" s="14">
        <f>IF(OR(ISBLANK(D214), D214=""), "Unassigned", D214)</f>
        <v/>
      </c>
      <c r="J214" s="13">
        <f>IF(G214&lt;0, "CREDIT / ADJUSTMENT", "STANDARD USAGE")</f>
        <v/>
      </c>
    </row>
    <row r="215">
      <c r="A215" s="13">
        <f>'Raw Enterprise Billing Data'!A215</f>
        <v/>
      </c>
      <c r="B215" s="13">
        <f>'Raw Enterprise Billing Data'!B215</f>
        <v/>
      </c>
      <c r="C215" s="13">
        <f>'Raw Enterprise Billing Data'!C215</f>
        <v/>
      </c>
      <c r="D215" s="14">
        <f>'Raw Enterprise Billing Data'!D215</f>
        <v/>
      </c>
      <c r="E215" s="13">
        <f>'Raw Enterprise Billing Data'!E215</f>
        <v/>
      </c>
      <c r="F215" s="14">
        <f>'Raw Enterprise Billing Data'!F215</f>
        <v/>
      </c>
      <c r="G215" s="15">
        <f>'Raw Enterprise Billing Data'!H215</f>
        <v/>
      </c>
      <c r="H215" s="13">
        <f>IF(COUNTIF($A$5:$A$499, A215)&gt;1, "⚠️ DUPLICATE", "UNIQUE")</f>
        <v/>
      </c>
      <c r="I215" s="14">
        <f>IF(OR(ISBLANK(D215), D215=""), "Unassigned", D215)</f>
        <v/>
      </c>
      <c r="J215" s="13">
        <f>IF(G215&lt;0, "CREDIT / ADJUSTMENT", "STANDARD USAGE")</f>
        <v/>
      </c>
    </row>
    <row r="216">
      <c r="A216" s="13">
        <f>'Raw Enterprise Billing Data'!A216</f>
        <v/>
      </c>
      <c r="B216" s="13">
        <f>'Raw Enterprise Billing Data'!B216</f>
        <v/>
      </c>
      <c r="C216" s="13">
        <f>'Raw Enterprise Billing Data'!C216</f>
        <v/>
      </c>
      <c r="D216" s="14">
        <f>'Raw Enterprise Billing Data'!D216</f>
        <v/>
      </c>
      <c r="E216" s="13">
        <f>'Raw Enterprise Billing Data'!E216</f>
        <v/>
      </c>
      <c r="F216" s="14">
        <f>'Raw Enterprise Billing Data'!F216</f>
        <v/>
      </c>
      <c r="G216" s="15">
        <f>'Raw Enterprise Billing Data'!H216</f>
        <v/>
      </c>
      <c r="H216" s="13">
        <f>IF(COUNTIF($A$5:$A$499, A216)&gt;1, "⚠️ DUPLICATE", "UNIQUE")</f>
        <v/>
      </c>
      <c r="I216" s="14">
        <f>IF(OR(ISBLANK(D216), D216=""), "Unassigned", D216)</f>
        <v/>
      </c>
      <c r="J216" s="13">
        <f>IF(G216&lt;0, "CREDIT / ADJUSTMENT", "STANDARD USAGE")</f>
        <v/>
      </c>
    </row>
    <row r="217">
      <c r="A217" s="13">
        <f>'Raw Enterprise Billing Data'!A217</f>
        <v/>
      </c>
      <c r="B217" s="13">
        <f>'Raw Enterprise Billing Data'!B217</f>
        <v/>
      </c>
      <c r="C217" s="13">
        <f>'Raw Enterprise Billing Data'!C217</f>
        <v/>
      </c>
      <c r="D217" s="14">
        <f>'Raw Enterprise Billing Data'!D217</f>
        <v/>
      </c>
      <c r="E217" s="13">
        <f>'Raw Enterprise Billing Data'!E217</f>
        <v/>
      </c>
      <c r="F217" s="14">
        <f>'Raw Enterprise Billing Data'!F217</f>
        <v/>
      </c>
      <c r="G217" s="15">
        <f>'Raw Enterprise Billing Data'!H217</f>
        <v/>
      </c>
      <c r="H217" s="13">
        <f>IF(COUNTIF($A$5:$A$499, A217)&gt;1, "⚠️ DUPLICATE", "UNIQUE")</f>
        <v/>
      </c>
      <c r="I217" s="14">
        <f>IF(OR(ISBLANK(D217), D217=""), "Unassigned", D217)</f>
        <v/>
      </c>
      <c r="J217" s="13">
        <f>IF(G217&lt;0, "CREDIT / ADJUSTMENT", "STANDARD USAGE")</f>
        <v/>
      </c>
    </row>
    <row r="218">
      <c r="A218" s="13">
        <f>'Raw Enterprise Billing Data'!A218</f>
        <v/>
      </c>
      <c r="B218" s="13">
        <f>'Raw Enterprise Billing Data'!B218</f>
        <v/>
      </c>
      <c r="C218" s="13">
        <f>'Raw Enterprise Billing Data'!C218</f>
        <v/>
      </c>
      <c r="D218" s="14">
        <f>'Raw Enterprise Billing Data'!D218</f>
        <v/>
      </c>
      <c r="E218" s="13">
        <f>'Raw Enterprise Billing Data'!E218</f>
        <v/>
      </c>
      <c r="F218" s="14">
        <f>'Raw Enterprise Billing Data'!F218</f>
        <v/>
      </c>
      <c r="G218" s="15">
        <f>'Raw Enterprise Billing Data'!H218</f>
        <v/>
      </c>
      <c r="H218" s="13">
        <f>IF(COUNTIF($A$5:$A$499, A218)&gt;1, "⚠️ DUPLICATE", "UNIQUE")</f>
        <v/>
      </c>
      <c r="I218" s="14">
        <f>IF(OR(ISBLANK(D218), D218=""), "Unassigned", D218)</f>
        <v/>
      </c>
      <c r="J218" s="13">
        <f>IF(G218&lt;0, "CREDIT / ADJUSTMENT", "STANDARD USAGE")</f>
        <v/>
      </c>
    </row>
    <row r="219">
      <c r="A219" s="13">
        <f>'Raw Enterprise Billing Data'!A219</f>
        <v/>
      </c>
      <c r="B219" s="13">
        <f>'Raw Enterprise Billing Data'!B219</f>
        <v/>
      </c>
      <c r="C219" s="13">
        <f>'Raw Enterprise Billing Data'!C219</f>
        <v/>
      </c>
      <c r="D219" s="14">
        <f>'Raw Enterprise Billing Data'!D219</f>
        <v/>
      </c>
      <c r="E219" s="13">
        <f>'Raw Enterprise Billing Data'!E219</f>
        <v/>
      </c>
      <c r="F219" s="14">
        <f>'Raw Enterprise Billing Data'!F219</f>
        <v/>
      </c>
      <c r="G219" s="15">
        <f>'Raw Enterprise Billing Data'!H219</f>
        <v/>
      </c>
      <c r="H219" s="13">
        <f>IF(COUNTIF($A$5:$A$499, A219)&gt;1, "⚠️ DUPLICATE", "UNIQUE")</f>
        <v/>
      </c>
      <c r="I219" s="14">
        <f>IF(OR(ISBLANK(D219), D219=""), "Unassigned", D219)</f>
        <v/>
      </c>
      <c r="J219" s="13">
        <f>IF(G219&lt;0, "CREDIT / ADJUSTMENT", "STANDARD USAGE")</f>
        <v/>
      </c>
    </row>
    <row r="220">
      <c r="A220" s="13">
        <f>'Raw Enterprise Billing Data'!A220</f>
        <v/>
      </c>
      <c r="B220" s="13">
        <f>'Raw Enterprise Billing Data'!B220</f>
        <v/>
      </c>
      <c r="C220" s="13">
        <f>'Raw Enterprise Billing Data'!C220</f>
        <v/>
      </c>
      <c r="D220" s="14">
        <f>'Raw Enterprise Billing Data'!D220</f>
        <v/>
      </c>
      <c r="E220" s="13">
        <f>'Raw Enterprise Billing Data'!E220</f>
        <v/>
      </c>
      <c r="F220" s="14">
        <f>'Raw Enterprise Billing Data'!F220</f>
        <v/>
      </c>
      <c r="G220" s="15">
        <f>'Raw Enterprise Billing Data'!H220</f>
        <v/>
      </c>
      <c r="H220" s="13">
        <f>IF(COUNTIF($A$5:$A$499, A220)&gt;1, "⚠️ DUPLICATE", "UNIQUE")</f>
        <v/>
      </c>
      <c r="I220" s="14">
        <f>IF(OR(ISBLANK(D220), D220=""), "Unassigned", D220)</f>
        <v/>
      </c>
      <c r="J220" s="13">
        <f>IF(G220&lt;0, "CREDIT / ADJUSTMENT", "STANDARD USAGE")</f>
        <v/>
      </c>
    </row>
    <row r="221">
      <c r="A221" s="13">
        <f>'Raw Enterprise Billing Data'!A221</f>
        <v/>
      </c>
      <c r="B221" s="13">
        <f>'Raw Enterprise Billing Data'!B221</f>
        <v/>
      </c>
      <c r="C221" s="13">
        <f>'Raw Enterprise Billing Data'!C221</f>
        <v/>
      </c>
      <c r="D221" s="14">
        <f>'Raw Enterprise Billing Data'!D221</f>
        <v/>
      </c>
      <c r="E221" s="13">
        <f>'Raw Enterprise Billing Data'!E221</f>
        <v/>
      </c>
      <c r="F221" s="14">
        <f>'Raw Enterprise Billing Data'!F221</f>
        <v/>
      </c>
      <c r="G221" s="15">
        <f>'Raw Enterprise Billing Data'!H221</f>
        <v/>
      </c>
      <c r="H221" s="13">
        <f>IF(COUNTIF($A$5:$A$499, A221)&gt;1, "⚠️ DUPLICATE", "UNIQUE")</f>
        <v/>
      </c>
      <c r="I221" s="14">
        <f>IF(OR(ISBLANK(D221), D221=""), "Unassigned", D221)</f>
        <v/>
      </c>
      <c r="J221" s="13">
        <f>IF(G221&lt;0, "CREDIT / ADJUSTMENT", "STANDARD USAGE")</f>
        <v/>
      </c>
    </row>
    <row r="222">
      <c r="A222" s="13">
        <f>'Raw Enterprise Billing Data'!A222</f>
        <v/>
      </c>
      <c r="B222" s="13">
        <f>'Raw Enterprise Billing Data'!B222</f>
        <v/>
      </c>
      <c r="C222" s="13">
        <f>'Raw Enterprise Billing Data'!C222</f>
        <v/>
      </c>
      <c r="D222" s="14">
        <f>'Raw Enterprise Billing Data'!D222</f>
        <v/>
      </c>
      <c r="E222" s="13">
        <f>'Raw Enterprise Billing Data'!E222</f>
        <v/>
      </c>
      <c r="F222" s="14">
        <f>'Raw Enterprise Billing Data'!F222</f>
        <v/>
      </c>
      <c r="G222" s="15">
        <f>'Raw Enterprise Billing Data'!H222</f>
        <v/>
      </c>
      <c r="H222" s="13">
        <f>IF(COUNTIF($A$5:$A$499, A222)&gt;1, "⚠️ DUPLICATE", "UNIQUE")</f>
        <v/>
      </c>
      <c r="I222" s="14">
        <f>IF(OR(ISBLANK(D222), D222=""), "Unassigned", D222)</f>
        <v/>
      </c>
      <c r="J222" s="13">
        <f>IF(G222&lt;0, "CREDIT / ADJUSTMENT", "STANDARD USAGE")</f>
        <v/>
      </c>
    </row>
    <row r="223">
      <c r="A223" s="13">
        <f>'Raw Enterprise Billing Data'!A223</f>
        <v/>
      </c>
      <c r="B223" s="13">
        <f>'Raw Enterprise Billing Data'!B223</f>
        <v/>
      </c>
      <c r="C223" s="13">
        <f>'Raw Enterprise Billing Data'!C223</f>
        <v/>
      </c>
      <c r="D223" s="14">
        <f>'Raw Enterprise Billing Data'!D223</f>
        <v/>
      </c>
      <c r="E223" s="13">
        <f>'Raw Enterprise Billing Data'!E223</f>
        <v/>
      </c>
      <c r="F223" s="14">
        <f>'Raw Enterprise Billing Data'!F223</f>
        <v/>
      </c>
      <c r="G223" s="15">
        <f>'Raw Enterprise Billing Data'!H223</f>
        <v/>
      </c>
      <c r="H223" s="13">
        <f>IF(COUNTIF($A$5:$A$499, A223)&gt;1, "⚠️ DUPLICATE", "UNIQUE")</f>
        <v/>
      </c>
      <c r="I223" s="14">
        <f>IF(OR(ISBLANK(D223), D223=""), "Unassigned", D223)</f>
        <v/>
      </c>
      <c r="J223" s="13">
        <f>IF(G223&lt;0, "CREDIT / ADJUSTMENT", "STANDARD USAGE")</f>
        <v/>
      </c>
    </row>
    <row r="224">
      <c r="A224" s="13">
        <f>'Raw Enterprise Billing Data'!A224</f>
        <v/>
      </c>
      <c r="B224" s="13">
        <f>'Raw Enterprise Billing Data'!B224</f>
        <v/>
      </c>
      <c r="C224" s="13">
        <f>'Raw Enterprise Billing Data'!C224</f>
        <v/>
      </c>
      <c r="D224" s="14">
        <f>'Raw Enterprise Billing Data'!D224</f>
        <v/>
      </c>
      <c r="E224" s="13">
        <f>'Raw Enterprise Billing Data'!E224</f>
        <v/>
      </c>
      <c r="F224" s="14">
        <f>'Raw Enterprise Billing Data'!F224</f>
        <v/>
      </c>
      <c r="G224" s="15">
        <f>'Raw Enterprise Billing Data'!H224</f>
        <v/>
      </c>
      <c r="H224" s="13">
        <f>IF(COUNTIF($A$5:$A$499, A224)&gt;1, "⚠️ DUPLICATE", "UNIQUE")</f>
        <v/>
      </c>
      <c r="I224" s="14">
        <f>IF(OR(ISBLANK(D224), D224=""), "Unassigned", D224)</f>
        <v/>
      </c>
      <c r="J224" s="13">
        <f>IF(G224&lt;0, "CREDIT / ADJUSTMENT", "STANDARD USAGE")</f>
        <v/>
      </c>
    </row>
    <row r="225">
      <c r="A225" s="13">
        <f>'Raw Enterprise Billing Data'!A225</f>
        <v/>
      </c>
      <c r="B225" s="13">
        <f>'Raw Enterprise Billing Data'!B225</f>
        <v/>
      </c>
      <c r="C225" s="13">
        <f>'Raw Enterprise Billing Data'!C225</f>
        <v/>
      </c>
      <c r="D225" s="14">
        <f>'Raw Enterprise Billing Data'!D225</f>
        <v/>
      </c>
      <c r="E225" s="13">
        <f>'Raw Enterprise Billing Data'!E225</f>
        <v/>
      </c>
      <c r="F225" s="14">
        <f>'Raw Enterprise Billing Data'!F225</f>
        <v/>
      </c>
      <c r="G225" s="15">
        <f>'Raw Enterprise Billing Data'!H225</f>
        <v/>
      </c>
      <c r="H225" s="13">
        <f>IF(COUNTIF($A$5:$A$499, A225)&gt;1, "⚠️ DUPLICATE", "UNIQUE")</f>
        <v/>
      </c>
      <c r="I225" s="14">
        <f>IF(OR(ISBLANK(D225), D225=""), "Unassigned", D225)</f>
        <v/>
      </c>
      <c r="J225" s="13">
        <f>IF(G225&lt;0, "CREDIT / ADJUSTMENT", "STANDARD USAGE")</f>
        <v/>
      </c>
    </row>
    <row r="226">
      <c r="A226" s="13">
        <f>'Raw Enterprise Billing Data'!A226</f>
        <v/>
      </c>
      <c r="B226" s="13">
        <f>'Raw Enterprise Billing Data'!B226</f>
        <v/>
      </c>
      <c r="C226" s="13">
        <f>'Raw Enterprise Billing Data'!C226</f>
        <v/>
      </c>
      <c r="D226" s="14">
        <f>'Raw Enterprise Billing Data'!D226</f>
        <v/>
      </c>
      <c r="E226" s="13">
        <f>'Raw Enterprise Billing Data'!E226</f>
        <v/>
      </c>
      <c r="F226" s="14">
        <f>'Raw Enterprise Billing Data'!F226</f>
        <v/>
      </c>
      <c r="G226" s="15">
        <f>'Raw Enterprise Billing Data'!H226</f>
        <v/>
      </c>
      <c r="H226" s="13">
        <f>IF(COUNTIF($A$5:$A$499, A226)&gt;1, "⚠️ DUPLICATE", "UNIQUE")</f>
        <v/>
      </c>
      <c r="I226" s="14">
        <f>IF(OR(ISBLANK(D226), D226=""), "Unassigned", D226)</f>
        <v/>
      </c>
      <c r="J226" s="13">
        <f>IF(G226&lt;0, "CREDIT / ADJUSTMENT", "STANDARD USAGE")</f>
        <v/>
      </c>
    </row>
    <row r="227">
      <c r="A227" s="13">
        <f>'Raw Enterprise Billing Data'!A227</f>
        <v/>
      </c>
      <c r="B227" s="13">
        <f>'Raw Enterprise Billing Data'!B227</f>
        <v/>
      </c>
      <c r="C227" s="13">
        <f>'Raw Enterprise Billing Data'!C227</f>
        <v/>
      </c>
      <c r="D227" s="14">
        <f>'Raw Enterprise Billing Data'!D227</f>
        <v/>
      </c>
      <c r="E227" s="13">
        <f>'Raw Enterprise Billing Data'!E227</f>
        <v/>
      </c>
      <c r="F227" s="14">
        <f>'Raw Enterprise Billing Data'!F227</f>
        <v/>
      </c>
      <c r="G227" s="15">
        <f>'Raw Enterprise Billing Data'!H227</f>
        <v/>
      </c>
      <c r="H227" s="13">
        <f>IF(COUNTIF($A$5:$A$499, A227)&gt;1, "⚠️ DUPLICATE", "UNIQUE")</f>
        <v/>
      </c>
      <c r="I227" s="14">
        <f>IF(OR(ISBLANK(D227), D227=""), "Unassigned", D227)</f>
        <v/>
      </c>
      <c r="J227" s="13">
        <f>IF(G227&lt;0, "CREDIT / ADJUSTMENT", "STANDARD USAGE")</f>
        <v/>
      </c>
    </row>
    <row r="228">
      <c r="A228" s="13">
        <f>'Raw Enterprise Billing Data'!A228</f>
        <v/>
      </c>
      <c r="B228" s="13">
        <f>'Raw Enterprise Billing Data'!B228</f>
        <v/>
      </c>
      <c r="C228" s="13">
        <f>'Raw Enterprise Billing Data'!C228</f>
        <v/>
      </c>
      <c r="D228" s="14">
        <f>'Raw Enterprise Billing Data'!D228</f>
        <v/>
      </c>
      <c r="E228" s="13">
        <f>'Raw Enterprise Billing Data'!E228</f>
        <v/>
      </c>
      <c r="F228" s="14">
        <f>'Raw Enterprise Billing Data'!F228</f>
        <v/>
      </c>
      <c r="G228" s="15">
        <f>'Raw Enterprise Billing Data'!H228</f>
        <v/>
      </c>
      <c r="H228" s="13">
        <f>IF(COUNTIF($A$5:$A$499, A228)&gt;1, "⚠️ DUPLICATE", "UNIQUE")</f>
        <v/>
      </c>
      <c r="I228" s="14">
        <f>IF(OR(ISBLANK(D228), D228=""), "Unassigned", D228)</f>
        <v/>
      </c>
      <c r="J228" s="13">
        <f>IF(G228&lt;0, "CREDIT / ADJUSTMENT", "STANDARD USAGE")</f>
        <v/>
      </c>
    </row>
    <row r="229">
      <c r="A229" s="13">
        <f>'Raw Enterprise Billing Data'!A229</f>
        <v/>
      </c>
      <c r="B229" s="13">
        <f>'Raw Enterprise Billing Data'!B229</f>
        <v/>
      </c>
      <c r="C229" s="13">
        <f>'Raw Enterprise Billing Data'!C229</f>
        <v/>
      </c>
      <c r="D229" s="14">
        <f>'Raw Enterprise Billing Data'!D229</f>
        <v/>
      </c>
      <c r="E229" s="13">
        <f>'Raw Enterprise Billing Data'!E229</f>
        <v/>
      </c>
      <c r="F229" s="14">
        <f>'Raw Enterprise Billing Data'!F229</f>
        <v/>
      </c>
      <c r="G229" s="15">
        <f>'Raw Enterprise Billing Data'!H229</f>
        <v/>
      </c>
      <c r="H229" s="13">
        <f>IF(COUNTIF($A$5:$A$499, A229)&gt;1, "⚠️ DUPLICATE", "UNIQUE")</f>
        <v/>
      </c>
      <c r="I229" s="14">
        <f>IF(OR(ISBLANK(D229), D229=""), "Unassigned", D229)</f>
        <v/>
      </c>
      <c r="J229" s="13">
        <f>IF(G229&lt;0, "CREDIT / ADJUSTMENT", "STANDARD USAGE")</f>
        <v/>
      </c>
    </row>
    <row r="230">
      <c r="A230" s="13">
        <f>'Raw Enterprise Billing Data'!A230</f>
        <v/>
      </c>
      <c r="B230" s="13">
        <f>'Raw Enterprise Billing Data'!B230</f>
        <v/>
      </c>
      <c r="C230" s="13">
        <f>'Raw Enterprise Billing Data'!C230</f>
        <v/>
      </c>
      <c r="D230" s="14">
        <f>'Raw Enterprise Billing Data'!D230</f>
        <v/>
      </c>
      <c r="E230" s="13">
        <f>'Raw Enterprise Billing Data'!E230</f>
        <v/>
      </c>
      <c r="F230" s="14">
        <f>'Raw Enterprise Billing Data'!F230</f>
        <v/>
      </c>
      <c r="G230" s="15">
        <f>'Raw Enterprise Billing Data'!H230</f>
        <v/>
      </c>
      <c r="H230" s="13">
        <f>IF(COUNTIF($A$5:$A$499, A230)&gt;1, "⚠️ DUPLICATE", "UNIQUE")</f>
        <v/>
      </c>
      <c r="I230" s="14">
        <f>IF(OR(ISBLANK(D230), D230=""), "Unassigned", D230)</f>
        <v/>
      </c>
      <c r="J230" s="13">
        <f>IF(G230&lt;0, "CREDIT / ADJUSTMENT", "STANDARD USAGE")</f>
        <v/>
      </c>
    </row>
    <row r="231">
      <c r="A231" s="13">
        <f>'Raw Enterprise Billing Data'!A231</f>
        <v/>
      </c>
      <c r="B231" s="13">
        <f>'Raw Enterprise Billing Data'!B231</f>
        <v/>
      </c>
      <c r="C231" s="13">
        <f>'Raw Enterprise Billing Data'!C231</f>
        <v/>
      </c>
      <c r="D231" s="14">
        <f>'Raw Enterprise Billing Data'!D231</f>
        <v/>
      </c>
      <c r="E231" s="13">
        <f>'Raw Enterprise Billing Data'!E231</f>
        <v/>
      </c>
      <c r="F231" s="14">
        <f>'Raw Enterprise Billing Data'!F231</f>
        <v/>
      </c>
      <c r="G231" s="15">
        <f>'Raw Enterprise Billing Data'!H231</f>
        <v/>
      </c>
      <c r="H231" s="13">
        <f>IF(COUNTIF($A$5:$A$499, A231)&gt;1, "⚠️ DUPLICATE", "UNIQUE")</f>
        <v/>
      </c>
      <c r="I231" s="14">
        <f>IF(OR(ISBLANK(D231), D231=""), "Unassigned", D231)</f>
        <v/>
      </c>
      <c r="J231" s="13">
        <f>IF(G231&lt;0, "CREDIT / ADJUSTMENT", "STANDARD USAGE")</f>
        <v/>
      </c>
    </row>
    <row r="232">
      <c r="A232" s="13">
        <f>'Raw Enterprise Billing Data'!A232</f>
        <v/>
      </c>
      <c r="B232" s="13">
        <f>'Raw Enterprise Billing Data'!B232</f>
        <v/>
      </c>
      <c r="C232" s="13">
        <f>'Raw Enterprise Billing Data'!C232</f>
        <v/>
      </c>
      <c r="D232" s="14">
        <f>'Raw Enterprise Billing Data'!D232</f>
        <v/>
      </c>
      <c r="E232" s="13">
        <f>'Raw Enterprise Billing Data'!E232</f>
        <v/>
      </c>
      <c r="F232" s="14">
        <f>'Raw Enterprise Billing Data'!F232</f>
        <v/>
      </c>
      <c r="G232" s="15">
        <f>'Raw Enterprise Billing Data'!H232</f>
        <v/>
      </c>
      <c r="H232" s="13">
        <f>IF(COUNTIF($A$5:$A$499, A232)&gt;1, "⚠️ DUPLICATE", "UNIQUE")</f>
        <v/>
      </c>
      <c r="I232" s="14">
        <f>IF(OR(ISBLANK(D232), D232=""), "Unassigned", D232)</f>
        <v/>
      </c>
      <c r="J232" s="13">
        <f>IF(G232&lt;0, "CREDIT / ADJUSTMENT", "STANDARD USAGE")</f>
        <v/>
      </c>
    </row>
    <row r="233">
      <c r="A233" s="13">
        <f>'Raw Enterprise Billing Data'!A233</f>
        <v/>
      </c>
      <c r="B233" s="13">
        <f>'Raw Enterprise Billing Data'!B233</f>
        <v/>
      </c>
      <c r="C233" s="13">
        <f>'Raw Enterprise Billing Data'!C233</f>
        <v/>
      </c>
      <c r="D233" s="14">
        <f>'Raw Enterprise Billing Data'!D233</f>
        <v/>
      </c>
      <c r="E233" s="13">
        <f>'Raw Enterprise Billing Data'!E233</f>
        <v/>
      </c>
      <c r="F233" s="14">
        <f>'Raw Enterprise Billing Data'!F233</f>
        <v/>
      </c>
      <c r="G233" s="15">
        <f>'Raw Enterprise Billing Data'!H233</f>
        <v/>
      </c>
      <c r="H233" s="13">
        <f>IF(COUNTIF($A$5:$A$499, A233)&gt;1, "⚠️ DUPLICATE", "UNIQUE")</f>
        <v/>
      </c>
      <c r="I233" s="14">
        <f>IF(OR(ISBLANK(D233), D233=""), "Unassigned", D233)</f>
        <v/>
      </c>
      <c r="J233" s="13">
        <f>IF(G233&lt;0, "CREDIT / ADJUSTMENT", "STANDARD USAGE")</f>
        <v/>
      </c>
    </row>
    <row r="234">
      <c r="A234" s="13">
        <f>'Raw Enterprise Billing Data'!A234</f>
        <v/>
      </c>
      <c r="B234" s="13">
        <f>'Raw Enterprise Billing Data'!B234</f>
        <v/>
      </c>
      <c r="C234" s="13">
        <f>'Raw Enterprise Billing Data'!C234</f>
        <v/>
      </c>
      <c r="D234" s="14">
        <f>'Raw Enterprise Billing Data'!D234</f>
        <v/>
      </c>
      <c r="E234" s="13">
        <f>'Raw Enterprise Billing Data'!E234</f>
        <v/>
      </c>
      <c r="F234" s="14">
        <f>'Raw Enterprise Billing Data'!F234</f>
        <v/>
      </c>
      <c r="G234" s="15">
        <f>'Raw Enterprise Billing Data'!H234</f>
        <v/>
      </c>
      <c r="H234" s="13">
        <f>IF(COUNTIF($A$5:$A$499, A234)&gt;1, "⚠️ DUPLICATE", "UNIQUE")</f>
        <v/>
      </c>
      <c r="I234" s="14">
        <f>IF(OR(ISBLANK(D234), D234=""), "Unassigned", D234)</f>
        <v/>
      </c>
      <c r="J234" s="13">
        <f>IF(G234&lt;0, "CREDIT / ADJUSTMENT", "STANDARD USAGE")</f>
        <v/>
      </c>
    </row>
    <row r="235">
      <c r="A235" s="13">
        <f>'Raw Enterprise Billing Data'!A235</f>
        <v/>
      </c>
      <c r="B235" s="13">
        <f>'Raw Enterprise Billing Data'!B235</f>
        <v/>
      </c>
      <c r="C235" s="13">
        <f>'Raw Enterprise Billing Data'!C235</f>
        <v/>
      </c>
      <c r="D235" s="14">
        <f>'Raw Enterprise Billing Data'!D235</f>
        <v/>
      </c>
      <c r="E235" s="13">
        <f>'Raw Enterprise Billing Data'!E235</f>
        <v/>
      </c>
      <c r="F235" s="14">
        <f>'Raw Enterprise Billing Data'!F235</f>
        <v/>
      </c>
      <c r="G235" s="15">
        <f>'Raw Enterprise Billing Data'!H235</f>
        <v/>
      </c>
      <c r="H235" s="13">
        <f>IF(COUNTIF($A$5:$A$499, A235)&gt;1, "⚠️ DUPLICATE", "UNIQUE")</f>
        <v/>
      </c>
      <c r="I235" s="14">
        <f>IF(OR(ISBLANK(D235), D235=""), "Unassigned", D235)</f>
        <v/>
      </c>
      <c r="J235" s="13">
        <f>IF(G235&lt;0, "CREDIT / ADJUSTMENT", "STANDARD USAGE")</f>
        <v/>
      </c>
    </row>
    <row r="236">
      <c r="A236" s="13">
        <f>'Raw Enterprise Billing Data'!A236</f>
        <v/>
      </c>
      <c r="B236" s="13">
        <f>'Raw Enterprise Billing Data'!B236</f>
        <v/>
      </c>
      <c r="C236" s="13">
        <f>'Raw Enterprise Billing Data'!C236</f>
        <v/>
      </c>
      <c r="D236" s="14">
        <f>'Raw Enterprise Billing Data'!D236</f>
        <v/>
      </c>
      <c r="E236" s="13">
        <f>'Raw Enterprise Billing Data'!E236</f>
        <v/>
      </c>
      <c r="F236" s="14">
        <f>'Raw Enterprise Billing Data'!F236</f>
        <v/>
      </c>
      <c r="G236" s="15">
        <f>'Raw Enterprise Billing Data'!H236</f>
        <v/>
      </c>
      <c r="H236" s="13">
        <f>IF(COUNTIF($A$5:$A$499, A236)&gt;1, "⚠️ DUPLICATE", "UNIQUE")</f>
        <v/>
      </c>
      <c r="I236" s="14">
        <f>IF(OR(ISBLANK(D236), D236=""), "Unassigned", D236)</f>
        <v/>
      </c>
      <c r="J236" s="13">
        <f>IF(G236&lt;0, "CREDIT / ADJUSTMENT", "STANDARD USAGE")</f>
        <v/>
      </c>
    </row>
    <row r="237">
      <c r="A237" s="13">
        <f>'Raw Enterprise Billing Data'!A237</f>
        <v/>
      </c>
      <c r="B237" s="13">
        <f>'Raw Enterprise Billing Data'!B237</f>
        <v/>
      </c>
      <c r="C237" s="13">
        <f>'Raw Enterprise Billing Data'!C237</f>
        <v/>
      </c>
      <c r="D237" s="14">
        <f>'Raw Enterprise Billing Data'!D237</f>
        <v/>
      </c>
      <c r="E237" s="13">
        <f>'Raw Enterprise Billing Data'!E237</f>
        <v/>
      </c>
      <c r="F237" s="14">
        <f>'Raw Enterprise Billing Data'!F237</f>
        <v/>
      </c>
      <c r="G237" s="15">
        <f>'Raw Enterprise Billing Data'!H237</f>
        <v/>
      </c>
      <c r="H237" s="13">
        <f>IF(COUNTIF($A$5:$A$499, A237)&gt;1, "⚠️ DUPLICATE", "UNIQUE")</f>
        <v/>
      </c>
      <c r="I237" s="14">
        <f>IF(OR(ISBLANK(D237), D237=""), "Unassigned", D237)</f>
        <v/>
      </c>
      <c r="J237" s="13">
        <f>IF(G237&lt;0, "CREDIT / ADJUSTMENT", "STANDARD USAGE")</f>
        <v/>
      </c>
    </row>
    <row r="238">
      <c r="A238" s="13">
        <f>'Raw Enterprise Billing Data'!A238</f>
        <v/>
      </c>
      <c r="B238" s="13">
        <f>'Raw Enterprise Billing Data'!B238</f>
        <v/>
      </c>
      <c r="C238" s="13">
        <f>'Raw Enterprise Billing Data'!C238</f>
        <v/>
      </c>
      <c r="D238" s="14">
        <f>'Raw Enterprise Billing Data'!D238</f>
        <v/>
      </c>
      <c r="E238" s="13">
        <f>'Raw Enterprise Billing Data'!E238</f>
        <v/>
      </c>
      <c r="F238" s="14">
        <f>'Raw Enterprise Billing Data'!F238</f>
        <v/>
      </c>
      <c r="G238" s="15">
        <f>'Raw Enterprise Billing Data'!H238</f>
        <v/>
      </c>
      <c r="H238" s="13">
        <f>IF(COUNTIF($A$5:$A$499, A238)&gt;1, "⚠️ DUPLICATE", "UNIQUE")</f>
        <v/>
      </c>
      <c r="I238" s="14">
        <f>IF(OR(ISBLANK(D238), D238=""), "Unassigned", D238)</f>
        <v/>
      </c>
      <c r="J238" s="13">
        <f>IF(G238&lt;0, "CREDIT / ADJUSTMENT", "STANDARD USAGE")</f>
        <v/>
      </c>
    </row>
    <row r="239">
      <c r="A239" s="13">
        <f>'Raw Enterprise Billing Data'!A239</f>
        <v/>
      </c>
      <c r="B239" s="13">
        <f>'Raw Enterprise Billing Data'!B239</f>
        <v/>
      </c>
      <c r="C239" s="13">
        <f>'Raw Enterprise Billing Data'!C239</f>
        <v/>
      </c>
      <c r="D239" s="14">
        <f>'Raw Enterprise Billing Data'!D239</f>
        <v/>
      </c>
      <c r="E239" s="13">
        <f>'Raw Enterprise Billing Data'!E239</f>
        <v/>
      </c>
      <c r="F239" s="14">
        <f>'Raw Enterprise Billing Data'!F239</f>
        <v/>
      </c>
      <c r="G239" s="15">
        <f>'Raw Enterprise Billing Data'!H239</f>
        <v/>
      </c>
      <c r="H239" s="13">
        <f>IF(COUNTIF($A$5:$A$499, A239)&gt;1, "⚠️ DUPLICATE", "UNIQUE")</f>
        <v/>
      </c>
      <c r="I239" s="14">
        <f>IF(OR(ISBLANK(D239), D239=""), "Unassigned", D239)</f>
        <v/>
      </c>
      <c r="J239" s="13">
        <f>IF(G239&lt;0, "CREDIT / ADJUSTMENT", "STANDARD USAGE")</f>
        <v/>
      </c>
    </row>
    <row r="240">
      <c r="A240" s="13">
        <f>'Raw Enterprise Billing Data'!A240</f>
        <v/>
      </c>
      <c r="B240" s="13">
        <f>'Raw Enterprise Billing Data'!B240</f>
        <v/>
      </c>
      <c r="C240" s="13">
        <f>'Raw Enterprise Billing Data'!C240</f>
        <v/>
      </c>
      <c r="D240" s="14">
        <f>'Raw Enterprise Billing Data'!D240</f>
        <v/>
      </c>
      <c r="E240" s="13">
        <f>'Raw Enterprise Billing Data'!E240</f>
        <v/>
      </c>
      <c r="F240" s="14">
        <f>'Raw Enterprise Billing Data'!F240</f>
        <v/>
      </c>
      <c r="G240" s="15">
        <f>'Raw Enterprise Billing Data'!H240</f>
        <v/>
      </c>
      <c r="H240" s="13">
        <f>IF(COUNTIF($A$5:$A$499, A240)&gt;1, "⚠️ DUPLICATE", "UNIQUE")</f>
        <v/>
      </c>
      <c r="I240" s="14">
        <f>IF(OR(ISBLANK(D240), D240=""), "Unassigned", D240)</f>
        <v/>
      </c>
      <c r="J240" s="13">
        <f>IF(G240&lt;0, "CREDIT / ADJUSTMENT", "STANDARD USAGE")</f>
        <v/>
      </c>
    </row>
    <row r="241">
      <c r="A241" s="13">
        <f>'Raw Enterprise Billing Data'!A241</f>
        <v/>
      </c>
      <c r="B241" s="13">
        <f>'Raw Enterprise Billing Data'!B241</f>
        <v/>
      </c>
      <c r="C241" s="13">
        <f>'Raw Enterprise Billing Data'!C241</f>
        <v/>
      </c>
      <c r="D241" s="14">
        <f>'Raw Enterprise Billing Data'!D241</f>
        <v/>
      </c>
      <c r="E241" s="13">
        <f>'Raw Enterprise Billing Data'!E241</f>
        <v/>
      </c>
      <c r="F241" s="14">
        <f>'Raw Enterprise Billing Data'!F241</f>
        <v/>
      </c>
      <c r="G241" s="15">
        <f>'Raw Enterprise Billing Data'!H241</f>
        <v/>
      </c>
      <c r="H241" s="13">
        <f>IF(COUNTIF($A$5:$A$499, A241)&gt;1, "⚠️ DUPLICATE", "UNIQUE")</f>
        <v/>
      </c>
      <c r="I241" s="14">
        <f>IF(OR(ISBLANK(D241), D241=""), "Unassigned", D241)</f>
        <v/>
      </c>
      <c r="J241" s="13">
        <f>IF(G241&lt;0, "CREDIT / ADJUSTMENT", "STANDARD USAGE")</f>
        <v/>
      </c>
    </row>
    <row r="242">
      <c r="A242" s="13">
        <f>'Raw Enterprise Billing Data'!A242</f>
        <v/>
      </c>
      <c r="B242" s="13">
        <f>'Raw Enterprise Billing Data'!B242</f>
        <v/>
      </c>
      <c r="C242" s="13">
        <f>'Raw Enterprise Billing Data'!C242</f>
        <v/>
      </c>
      <c r="D242" s="14">
        <f>'Raw Enterprise Billing Data'!D242</f>
        <v/>
      </c>
      <c r="E242" s="13">
        <f>'Raw Enterprise Billing Data'!E242</f>
        <v/>
      </c>
      <c r="F242" s="14">
        <f>'Raw Enterprise Billing Data'!F242</f>
        <v/>
      </c>
      <c r="G242" s="15">
        <f>'Raw Enterprise Billing Data'!H242</f>
        <v/>
      </c>
      <c r="H242" s="13">
        <f>IF(COUNTIF($A$5:$A$499, A242)&gt;1, "⚠️ DUPLICATE", "UNIQUE")</f>
        <v/>
      </c>
      <c r="I242" s="14">
        <f>IF(OR(ISBLANK(D242), D242=""), "Unassigned", D242)</f>
        <v/>
      </c>
      <c r="J242" s="13">
        <f>IF(G242&lt;0, "CREDIT / ADJUSTMENT", "STANDARD USAGE")</f>
        <v/>
      </c>
    </row>
    <row r="243">
      <c r="A243" s="13">
        <f>'Raw Enterprise Billing Data'!A243</f>
        <v/>
      </c>
      <c r="B243" s="13">
        <f>'Raw Enterprise Billing Data'!B243</f>
        <v/>
      </c>
      <c r="C243" s="13">
        <f>'Raw Enterprise Billing Data'!C243</f>
        <v/>
      </c>
      <c r="D243" s="14">
        <f>'Raw Enterprise Billing Data'!D243</f>
        <v/>
      </c>
      <c r="E243" s="13">
        <f>'Raw Enterprise Billing Data'!E243</f>
        <v/>
      </c>
      <c r="F243" s="14">
        <f>'Raw Enterprise Billing Data'!F243</f>
        <v/>
      </c>
      <c r="G243" s="15">
        <f>'Raw Enterprise Billing Data'!H243</f>
        <v/>
      </c>
      <c r="H243" s="13">
        <f>IF(COUNTIF($A$5:$A$499, A243)&gt;1, "⚠️ DUPLICATE", "UNIQUE")</f>
        <v/>
      </c>
      <c r="I243" s="14">
        <f>IF(OR(ISBLANK(D243), D243=""), "Unassigned", D243)</f>
        <v/>
      </c>
      <c r="J243" s="13">
        <f>IF(G243&lt;0, "CREDIT / ADJUSTMENT", "STANDARD USAGE")</f>
        <v/>
      </c>
    </row>
    <row r="244">
      <c r="A244" s="13">
        <f>'Raw Enterprise Billing Data'!A244</f>
        <v/>
      </c>
      <c r="B244" s="13">
        <f>'Raw Enterprise Billing Data'!B244</f>
        <v/>
      </c>
      <c r="C244" s="13">
        <f>'Raw Enterprise Billing Data'!C244</f>
        <v/>
      </c>
      <c r="D244" s="14">
        <f>'Raw Enterprise Billing Data'!D244</f>
        <v/>
      </c>
      <c r="E244" s="13">
        <f>'Raw Enterprise Billing Data'!E244</f>
        <v/>
      </c>
      <c r="F244" s="14">
        <f>'Raw Enterprise Billing Data'!F244</f>
        <v/>
      </c>
      <c r="G244" s="15">
        <f>'Raw Enterprise Billing Data'!H244</f>
        <v/>
      </c>
      <c r="H244" s="13">
        <f>IF(COUNTIF($A$5:$A$499, A244)&gt;1, "⚠️ DUPLICATE", "UNIQUE")</f>
        <v/>
      </c>
      <c r="I244" s="14">
        <f>IF(OR(ISBLANK(D244), D244=""), "Unassigned", D244)</f>
        <v/>
      </c>
      <c r="J244" s="13">
        <f>IF(G244&lt;0, "CREDIT / ADJUSTMENT", "STANDARD USAGE")</f>
        <v/>
      </c>
    </row>
    <row r="245">
      <c r="A245" s="13">
        <f>'Raw Enterprise Billing Data'!A245</f>
        <v/>
      </c>
      <c r="B245" s="13">
        <f>'Raw Enterprise Billing Data'!B245</f>
        <v/>
      </c>
      <c r="C245" s="13">
        <f>'Raw Enterprise Billing Data'!C245</f>
        <v/>
      </c>
      <c r="D245" s="14">
        <f>'Raw Enterprise Billing Data'!D245</f>
        <v/>
      </c>
      <c r="E245" s="13">
        <f>'Raw Enterprise Billing Data'!E245</f>
        <v/>
      </c>
      <c r="F245" s="14">
        <f>'Raw Enterprise Billing Data'!F245</f>
        <v/>
      </c>
      <c r="G245" s="15">
        <f>'Raw Enterprise Billing Data'!H245</f>
        <v/>
      </c>
      <c r="H245" s="13">
        <f>IF(COUNTIF($A$5:$A$499, A245)&gt;1, "⚠️ DUPLICATE", "UNIQUE")</f>
        <v/>
      </c>
      <c r="I245" s="14">
        <f>IF(OR(ISBLANK(D245), D245=""), "Unassigned", D245)</f>
        <v/>
      </c>
      <c r="J245" s="13">
        <f>IF(G245&lt;0, "CREDIT / ADJUSTMENT", "STANDARD USAGE")</f>
        <v/>
      </c>
    </row>
    <row r="246">
      <c r="A246" s="13">
        <f>'Raw Enterprise Billing Data'!A246</f>
        <v/>
      </c>
      <c r="B246" s="13">
        <f>'Raw Enterprise Billing Data'!B246</f>
        <v/>
      </c>
      <c r="C246" s="13">
        <f>'Raw Enterprise Billing Data'!C246</f>
        <v/>
      </c>
      <c r="D246" s="14">
        <f>'Raw Enterprise Billing Data'!D246</f>
        <v/>
      </c>
      <c r="E246" s="13">
        <f>'Raw Enterprise Billing Data'!E246</f>
        <v/>
      </c>
      <c r="F246" s="14">
        <f>'Raw Enterprise Billing Data'!F246</f>
        <v/>
      </c>
      <c r="G246" s="15">
        <f>'Raw Enterprise Billing Data'!H246</f>
        <v/>
      </c>
      <c r="H246" s="13">
        <f>IF(COUNTIF($A$5:$A$499, A246)&gt;1, "⚠️ DUPLICATE", "UNIQUE")</f>
        <v/>
      </c>
      <c r="I246" s="14">
        <f>IF(OR(ISBLANK(D246), D246=""), "Unassigned", D246)</f>
        <v/>
      </c>
      <c r="J246" s="13">
        <f>IF(G246&lt;0, "CREDIT / ADJUSTMENT", "STANDARD USAGE")</f>
        <v/>
      </c>
    </row>
    <row r="247">
      <c r="A247" s="13">
        <f>'Raw Enterprise Billing Data'!A247</f>
        <v/>
      </c>
      <c r="B247" s="13">
        <f>'Raw Enterprise Billing Data'!B247</f>
        <v/>
      </c>
      <c r="C247" s="13">
        <f>'Raw Enterprise Billing Data'!C247</f>
        <v/>
      </c>
      <c r="D247" s="14">
        <f>'Raw Enterprise Billing Data'!D247</f>
        <v/>
      </c>
      <c r="E247" s="13">
        <f>'Raw Enterprise Billing Data'!E247</f>
        <v/>
      </c>
      <c r="F247" s="14">
        <f>'Raw Enterprise Billing Data'!F247</f>
        <v/>
      </c>
      <c r="G247" s="15">
        <f>'Raw Enterprise Billing Data'!H247</f>
        <v/>
      </c>
      <c r="H247" s="13">
        <f>IF(COUNTIF($A$5:$A$499, A247)&gt;1, "⚠️ DUPLICATE", "UNIQUE")</f>
        <v/>
      </c>
      <c r="I247" s="14">
        <f>IF(OR(ISBLANK(D247), D247=""), "Unassigned", D247)</f>
        <v/>
      </c>
      <c r="J247" s="13">
        <f>IF(G247&lt;0, "CREDIT / ADJUSTMENT", "STANDARD USAGE")</f>
        <v/>
      </c>
    </row>
    <row r="248">
      <c r="A248" s="13">
        <f>'Raw Enterprise Billing Data'!A248</f>
        <v/>
      </c>
      <c r="B248" s="13">
        <f>'Raw Enterprise Billing Data'!B248</f>
        <v/>
      </c>
      <c r="C248" s="13">
        <f>'Raw Enterprise Billing Data'!C248</f>
        <v/>
      </c>
      <c r="D248" s="14">
        <f>'Raw Enterprise Billing Data'!D248</f>
        <v/>
      </c>
      <c r="E248" s="13">
        <f>'Raw Enterprise Billing Data'!E248</f>
        <v/>
      </c>
      <c r="F248" s="14">
        <f>'Raw Enterprise Billing Data'!F248</f>
        <v/>
      </c>
      <c r="G248" s="15">
        <f>'Raw Enterprise Billing Data'!H248</f>
        <v/>
      </c>
      <c r="H248" s="13">
        <f>IF(COUNTIF($A$5:$A$499, A248)&gt;1, "⚠️ DUPLICATE", "UNIQUE")</f>
        <v/>
      </c>
      <c r="I248" s="14">
        <f>IF(OR(ISBLANK(D248), D248=""), "Unassigned", D248)</f>
        <v/>
      </c>
      <c r="J248" s="13">
        <f>IF(G248&lt;0, "CREDIT / ADJUSTMENT", "STANDARD USAGE")</f>
        <v/>
      </c>
    </row>
    <row r="249">
      <c r="A249" s="13">
        <f>'Raw Enterprise Billing Data'!A249</f>
        <v/>
      </c>
      <c r="B249" s="13">
        <f>'Raw Enterprise Billing Data'!B249</f>
        <v/>
      </c>
      <c r="C249" s="13">
        <f>'Raw Enterprise Billing Data'!C249</f>
        <v/>
      </c>
      <c r="D249" s="14">
        <f>'Raw Enterprise Billing Data'!D249</f>
        <v/>
      </c>
      <c r="E249" s="13">
        <f>'Raw Enterprise Billing Data'!E249</f>
        <v/>
      </c>
      <c r="F249" s="14">
        <f>'Raw Enterprise Billing Data'!F249</f>
        <v/>
      </c>
      <c r="G249" s="15">
        <f>'Raw Enterprise Billing Data'!H249</f>
        <v/>
      </c>
      <c r="H249" s="13">
        <f>IF(COUNTIF($A$5:$A$499, A249)&gt;1, "⚠️ DUPLICATE", "UNIQUE")</f>
        <v/>
      </c>
      <c r="I249" s="14">
        <f>IF(OR(ISBLANK(D249), D249=""), "Unassigned", D249)</f>
        <v/>
      </c>
      <c r="J249" s="13">
        <f>IF(G249&lt;0, "CREDIT / ADJUSTMENT", "STANDARD USAGE")</f>
        <v/>
      </c>
    </row>
    <row r="250">
      <c r="A250" s="13">
        <f>'Raw Enterprise Billing Data'!A250</f>
        <v/>
      </c>
      <c r="B250" s="13">
        <f>'Raw Enterprise Billing Data'!B250</f>
        <v/>
      </c>
      <c r="C250" s="13">
        <f>'Raw Enterprise Billing Data'!C250</f>
        <v/>
      </c>
      <c r="D250" s="14">
        <f>'Raw Enterprise Billing Data'!D250</f>
        <v/>
      </c>
      <c r="E250" s="13">
        <f>'Raw Enterprise Billing Data'!E250</f>
        <v/>
      </c>
      <c r="F250" s="14">
        <f>'Raw Enterprise Billing Data'!F250</f>
        <v/>
      </c>
      <c r="G250" s="15">
        <f>'Raw Enterprise Billing Data'!H250</f>
        <v/>
      </c>
      <c r="H250" s="13">
        <f>IF(COUNTIF($A$5:$A$499, A250)&gt;1, "⚠️ DUPLICATE", "UNIQUE")</f>
        <v/>
      </c>
      <c r="I250" s="14">
        <f>IF(OR(ISBLANK(D250), D250=""), "Unassigned", D250)</f>
        <v/>
      </c>
      <c r="J250" s="13">
        <f>IF(G250&lt;0, "CREDIT / ADJUSTMENT", "STANDARD USAGE")</f>
        <v/>
      </c>
    </row>
    <row r="251">
      <c r="A251" s="13">
        <f>'Raw Enterprise Billing Data'!A251</f>
        <v/>
      </c>
      <c r="B251" s="13">
        <f>'Raw Enterprise Billing Data'!B251</f>
        <v/>
      </c>
      <c r="C251" s="13">
        <f>'Raw Enterprise Billing Data'!C251</f>
        <v/>
      </c>
      <c r="D251" s="14">
        <f>'Raw Enterprise Billing Data'!D251</f>
        <v/>
      </c>
      <c r="E251" s="13">
        <f>'Raw Enterprise Billing Data'!E251</f>
        <v/>
      </c>
      <c r="F251" s="14">
        <f>'Raw Enterprise Billing Data'!F251</f>
        <v/>
      </c>
      <c r="G251" s="15">
        <f>'Raw Enterprise Billing Data'!H251</f>
        <v/>
      </c>
      <c r="H251" s="13">
        <f>IF(COUNTIF($A$5:$A$499, A251)&gt;1, "⚠️ DUPLICATE", "UNIQUE")</f>
        <v/>
      </c>
      <c r="I251" s="14">
        <f>IF(OR(ISBLANK(D251), D251=""), "Unassigned", D251)</f>
        <v/>
      </c>
      <c r="J251" s="13">
        <f>IF(G251&lt;0, "CREDIT / ADJUSTMENT", "STANDARD USAGE")</f>
        <v/>
      </c>
    </row>
    <row r="252">
      <c r="A252" s="13">
        <f>'Raw Enterprise Billing Data'!A252</f>
        <v/>
      </c>
      <c r="B252" s="13">
        <f>'Raw Enterprise Billing Data'!B252</f>
        <v/>
      </c>
      <c r="C252" s="13">
        <f>'Raw Enterprise Billing Data'!C252</f>
        <v/>
      </c>
      <c r="D252" s="14">
        <f>'Raw Enterprise Billing Data'!D252</f>
        <v/>
      </c>
      <c r="E252" s="13">
        <f>'Raw Enterprise Billing Data'!E252</f>
        <v/>
      </c>
      <c r="F252" s="14">
        <f>'Raw Enterprise Billing Data'!F252</f>
        <v/>
      </c>
      <c r="G252" s="15">
        <f>'Raw Enterprise Billing Data'!H252</f>
        <v/>
      </c>
      <c r="H252" s="13">
        <f>IF(COUNTIF($A$5:$A$499, A252)&gt;1, "⚠️ DUPLICATE", "UNIQUE")</f>
        <v/>
      </c>
      <c r="I252" s="14">
        <f>IF(OR(ISBLANK(D252), D252=""), "Unassigned", D252)</f>
        <v/>
      </c>
      <c r="J252" s="13">
        <f>IF(G252&lt;0, "CREDIT / ADJUSTMENT", "STANDARD USAGE")</f>
        <v/>
      </c>
    </row>
    <row r="253">
      <c r="A253" s="13">
        <f>'Raw Enterprise Billing Data'!A253</f>
        <v/>
      </c>
      <c r="B253" s="13">
        <f>'Raw Enterprise Billing Data'!B253</f>
        <v/>
      </c>
      <c r="C253" s="13">
        <f>'Raw Enterprise Billing Data'!C253</f>
        <v/>
      </c>
      <c r="D253" s="14">
        <f>'Raw Enterprise Billing Data'!D253</f>
        <v/>
      </c>
      <c r="E253" s="13">
        <f>'Raw Enterprise Billing Data'!E253</f>
        <v/>
      </c>
      <c r="F253" s="14">
        <f>'Raw Enterprise Billing Data'!F253</f>
        <v/>
      </c>
      <c r="G253" s="15">
        <f>'Raw Enterprise Billing Data'!H253</f>
        <v/>
      </c>
      <c r="H253" s="13">
        <f>IF(COUNTIF($A$5:$A$499, A253)&gt;1, "⚠️ DUPLICATE", "UNIQUE")</f>
        <v/>
      </c>
      <c r="I253" s="14">
        <f>IF(OR(ISBLANK(D253), D253=""), "Unassigned", D253)</f>
        <v/>
      </c>
      <c r="J253" s="13">
        <f>IF(G253&lt;0, "CREDIT / ADJUSTMENT", "STANDARD USAGE")</f>
        <v/>
      </c>
    </row>
    <row r="254">
      <c r="A254" s="13">
        <f>'Raw Enterprise Billing Data'!A254</f>
        <v/>
      </c>
      <c r="B254" s="13">
        <f>'Raw Enterprise Billing Data'!B254</f>
        <v/>
      </c>
      <c r="C254" s="13">
        <f>'Raw Enterprise Billing Data'!C254</f>
        <v/>
      </c>
      <c r="D254" s="14">
        <f>'Raw Enterprise Billing Data'!D254</f>
        <v/>
      </c>
      <c r="E254" s="13">
        <f>'Raw Enterprise Billing Data'!E254</f>
        <v/>
      </c>
      <c r="F254" s="14">
        <f>'Raw Enterprise Billing Data'!F254</f>
        <v/>
      </c>
      <c r="G254" s="15">
        <f>'Raw Enterprise Billing Data'!H254</f>
        <v/>
      </c>
      <c r="H254" s="13">
        <f>IF(COUNTIF($A$5:$A$499, A254)&gt;1, "⚠️ DUPLICATE", "UNIQUE")</f>
        <v/>
      </c>
      <c r="I254" s="14">
        <f>IF(OR(ISBLANK(D254), D254=""), "Unassigned", D254)</f>
        <v/>
      </c>
      <c r="J254" s="13">
        <f>IF(G254&lt;0, "CREDIT / ADJUSTMENT", "STANDARD USAGE")</f>
        <v/>
      </c>
    </row>
    <row r="255">
      <c r="A255" s="13">
        <f>'Raw Enterprise Billing Data'!A255</f>
        <v/>
      </c>
      <c r="B255" s="13">
        <f>'Raw Enterprise Billing Data'!B255</f>
        <v/>
      </c>
      <c r="C255" s="13">
        <f>'Raw Enterprise Billing Data'!C255</f>
        <v/>
      </c>
      <c r="D255" s="14">
        <f>'Raw Enterprise Billing Data'!D255</f>
        <v/>
      </c>
      <c r="E255" s="13">
        <f>'Raw Enterprise Billing Data'!E255</f>
        <v/>
      </c>
      <c r="F255" s="14">
        <f>'Raw Enterprise Billing Data'!F255</f>
        <v/>
      </c>
      <c r="G255" s="15">
        <f>'Raw Enterprise Billing Data'!H255</f>
        <v/>
      </c>
      <c r="H255" s="13">
        <f>IF(COUNTIF($A$5:$A$499, A255)&gt;1, "⚠️ DUPLICATE", "UNIQUE")</f>
        <v/>
      </c>
      <c r="I255" s="14">
        <f>IF(OR(ISBLANK(D255), D255=""), "Unassigned", D255)</f>
        <v/>
      </c>
      <c r="J255" s="13">
        <f>IF(G255&lt;0, "CREDIT / ADJUSTMENT", "STANDARD USAGE")</f>
        <v/>
      </c>
    </row>
    <row r="256">
      <c r="A256" s="13">
        <f>'Raw Enterprise Billing Data'!A256</f>
        <v/>
      </c>
      <c r="B256" s="13">
        <f>'Raw Enterprise Billing Data'!B256</f>
        <v/>
      </c>
      <c r="C256" s="13">
        <f>'Raw Enterprise Billing Data'!C256</f>
        <v/>
      </c>
      <c r="D256" s="14">
        <f>'Raw Enterprise Billing Data'!D256</f>
        <v/>
      </c>
      <c r="E256" s="13">
        <f>'Raw Enterprise Billing Data'!E256</f>
        <v/>
      </c>
      <c r="F256" s="14">
        <f>'Raw Enterprise Billing Data'!F256</f>
        <v/>
      </c>
      <c r="G256" s="15">
        <f>'Raw Enterprise Billing Data'!H256</f>
        <v/>
      </c>
      <c r="H256" s="13">
        <f>IF(COUNTIF($A$5:$A$499, A256)&gt;1, "⚠️ DUPLICATE", "UNIQUE")</f>
        <v/>
      </c>
      <c r="I256" s="14">
        <f>IF(OR(ISBLANK(D256), D256=""), "Unassigned", D256)</f>
        <v/>
      </c>
      <c r="J256" s="13">
        <f>IF(G256&lt;0, "CREDIT / ADJUSTMENT", "STANDARD USAGE")</f>
        <v/>
      </c>
    </row>
    <row r="257">
      <c r="A257" s="13">
        <f>'Raw Enterprise Billing Data'!A257</f>
        <v/>
      </c>
      <c r="B257" s="13">
        <f>'Raw Enterprise Billing Data'!B257</f>
        <v/>
      </c>
      <c r="C257" s="13">
        <f>'Raw Enterprise Billing Data'!C257</f>
        <v/>
      </c>
      <c r="D257" s="14">
        <f>'Raw Enterprise Billing Data'!D257</f>
        <v/>
      </c>
      <c r="E257" s="13">
        <f>'Raw Enterprise Billing Data'!E257</f>
        <v/>
      </c>
      <c r="F257" s="14">
        <f>'Raw Enterprise Billing Data'!F257</f>
        <v/>
      </c>
      <c r="G257" s="15">
        <f>'Raw Enterprise Billing Data'!H257</f>
        <v/>
      </c>
      <c r="H257" s="13">
        <f>IF(COUNTIF($A$5:$A$499, A257)&gt;1, "⚠️ DUPLICATE", "UNIQUE")</f>
        <v/>
      </c>
      <c r="I257" s="14">
        <f>IF(OR(ISBLANK(D257), D257=""), "Unassigned", D257)</f>
        <v/>
      </c>
      <c r="J257" s="13">
        <f>IF(G257&lt;0, "CREDIT / ADJUSTMENT", "STANDARD USAGE")</f>
        <v/>
      </c>
    </row>
    <row r="258">
      <c r="A258" s="13">
        <f>'Raw Enterprise Billing Data'!A258</f>
        <v/>
      </c>
      <c r="B258" s="13">
        <f>'Raw Enterprise Billing Data'!B258</f>
        <v/>
      </c>
      <c r="C258" s="13">
        <f>'Raw Enterprise Billing Data'!C258</f>
        <v/>
      </c>
      <c r="D258" s="14">
        <f>'Raw Enterprise Billing Data'!D258</f>
        <v/>
      </c>
      <c r="E258" s="13">
        <f>'Raw Enterprise Billing Data'!E258</f>
        <v/>
      </c>
      <c r="F258" s="14">
        <f>'Raw Enterprise Billing Data'!F258</f>
        <v/>
      </c>
      <c r="G258" s="15">
        <f>'Raw Enterprise Billing Data'!H258</f>
        <v/>
      </c>
      <c r="H258" s="13">
        <f>IF(COUNTIF($A$5:$A$499, A258)&gt;1, "⚠️ DUPLICATE", "UNIQUE")</f>
        <v/>
      </c>
      <c r="I258" s="14">
        <f>IF(OR(ISBLANK(D258), D258=""), "Unassigned", D258)</f>
        <v/>
      </c>
      <c r="J258" s="13">
        <f>IF(G258&lt;0, "CREDIT / ADJUSTMENT", "STANDARD USAGE")</f>
        <v/>
      </c>
    </row>
    <row r="259">
      <c r="A259" s="13">
        <f>'Raw Enterprise Billing Data'!A259</f>
        <v/>
      </c>
      <c r="B259" s="13">
        <f>'Raw Enterprise Billing Data'!B259</f>
        <v/>
      </c>
      <c r="C259" s="13">
        <f>'Raw Enterprise Billing Data'!C259</f>
        <v/>
      </c>
      <c r="D259" s="14">
        <f>'Raw Enterprise Billing Data'!D259</f>
        <v/>
      </c>
      <c r="E259" s="13">
        <f>'Raw Enterprise Billing Data'!E259</f>
        <v/>
      </c>
      <c r="F259" s="14">
        <f>'Raw Enterprise Billing Data'!F259</f>
        <v/>
      </c>
      <c r="G259" s="15">
        <f>'Raw Enterprise Billing Data'!H259</f>
        <v/>
      </c>
      <c r="H259" s="13">
        <f>IF(COUNTIF($A$5:$A$499, A259)&gt;1, "⚠️ DUPLICATE", "UNIQUE")</f>
        <v/>
      </c>
      <c r="I259" s="14">
        <f>IF(OR(ISBLANK(D259), D259=""), "Unassigned", D259)</f>
        <v/>
      </c>
      <c r="J259" s="13">
        <f>IF(G259&lt;0, "CREDIT / ADJUSTMENT", "STANDARD USAGE")</f>
        <v/>
      </c>
    </row>
    <row r="260">
      <c r="A260" s="13">
        <f>'Raw Enterprise Billing Data'!A260</f>
        <v/>
      </c>
      <c r="B260" s="13">
        <f>'Raw Enterprise Billing Data'!B260</f>
        <v/>
      </c>
      <c r="C260" s="13">
        <f>'Raw Enterprise Billing Data'!C260</f>
        <v/>
      </c>
      <c r="D260" s="14">
        <f>'Raw Enterprise Billing Data'!D260</f>
        <v/>
      </c>
      <c r="E260" s="13">
        <f>'Raw Enterprise Billing Data'!E260</f>
        <v/>
      </c>
      <c r="F260" s="14">
        <f>'Raw Enterprise Billing Data'!F260</f>
        <v/>
      </c>
      <c r="G260" s="15">
        <f>'Raw Enterprise Billing Data'!H260</f>
        <v/>
      </c>
      <c r="H260" s="13">
        <f>IF(COUNTIF($A$5:$A$499, A260)&gt;1, "⚠️ DUPLICATE", "UNIQUE")</f>
        <v/>
      </c>
      <c r="I260" s="14">
        <f>IF(OR(ISBLANK(D260), D260=""), "Unassigned", D260)</f>
        <v/>
      </c>
      <c r="J260" s="13">
        <f>IF(G260&lt;0, "CREDIT / ADJUSTMENT", "STANDARD USAGE")</f>
        <v/>
      </c>
    </row>
    <row r="261">
      <c r="A261" s="13">
        <f>'Raw Enterprise Billing Data'!A261</f>
        <v/>
      </c>
      <c r="B261" s="13">
        <f>'Raw Enterprise Billing Data'!B261</f>
        <v/>
      </c>
      <c r="C261" s="13">
        <f>'Raw Enterprise Billing Data'!C261</f>
        <v/>
      </c>
      <c r="D261" s="14">
        <f>'Raw Enterprise Billing Data'!D261</f>
        <v/>
      </c>
      <c r="E261" s="13">
        <f>'Raw Enterprise Billing Data'!E261</f>
        <v/>
      </c>
      <c r="F261" s="14">
        <f>'Raw Enterprise Billing Data'!F261</f>
        <v/>
      </c>
      <c r="G261" s="15">
        <f>'Raw Enterprise Billing Data'!H261</f>
        <v/>
      </c>
      <c r="H261" s="13">
        <f>IF(COUNTIF($A$5:$A$499, A261)&gt;1, "⚠️ DUPLICATE", "UNIQUE")</f>
        <v/>
      </c>
      <c r="I261" s="14">
        <f>IF(OR(ISBLANK(D261), D261=""), "Unassigned", D261)</f>
        <v/>
      </c>
      <c r="J261" s="13">
        <f>IF(G261&lt;0, "CREDIT / ADJUSTMENT", "STANDARD USAGE")</f>
        <v/>
      </c>
    </row>
    <row r="262">
      <c r="A262" s="13">
        <f>'Raw Enterprise Billing Data'!A262</f>
        <v/>
      </c>
      <c r="B262" s="13">
        <f>'Raw Enterprise Billing Data'!B262</f>
        <v/>
      </c>
      <c r="C262" s="13">
        <f>'Raw Enterprise Billing Data'!C262</f>
        <v/>
      </c>
      <c r="D262" s="14">
        <f>'Raw Enterprise Billing Data'!D262</f>
        <v/>
      </c>
      <c r="E262" s="13">
        <f>'Raw Enterprise Billing Data'!E262</f>
        <v/>
      </c>
      <c r="F262" s="14">
        <f>'Raw Enterprise Billing Data'!F262</f>
        <v/>
      </c>
      <c r="G262" s="15">
        <f>'Raw Enterprise Billing Data'!H262</f>
        <v/>
      </c>
      <c r="H262" s="13">
        <f>IF(COUNTIF($A$5:$A$499, A262)&gt;1, "⚠️ DUPLICATE", "UNIQUE")</f>
        <v/>
      </c>
      <c r="I262" s="14">
        <f>IF(OR(ISBLANK(D262), D262=""), "Unassigned", D262)</f>
        <v/>
      </c>
      <c r="J262" s="13">
        <f>IF(G262&lt;0, "CREDIT / ADJUSTMENT", "STANDARD USAGE")</f>
        <v/>
      </c>
    </row>
    <row r="263">
      <c r="A263" s="13">
        <f>'Raw Enterprise Billing Data'!A263</f>
        <v/>
      </c>
      <c r="B263" s="13">
        <f>'Raw Enterprise Billing Data'!B263</f>
        <v/>
      </c>
      <c r="C263" s="13">
        <f>'Raw Enterprise Billing Data'!C263</f>
        <v/>
      </c>
      <c r="D263" s="14">
        <f>'Raw Enterprise Billing Data'!D263</f>
        <v/>
      </c>
      <c r="E263" s="13">
        <f>'Raw Enterprise Billing Data'!E263</f>
        <v/>
      </c>
      <c r="F263" s="14">
        <f>'Raw Enterprise Billing Data'!F263</f>
        <v/>
      </c>
      <c r="G263" s="15">
        <f>'Raw Enterprise Billing Data'!H263</f>
        <v/>
      </c>
      <c r="H263" s="13">
        <f>IF(COUNTIF($A$5:$A$499, A263)&gt;1, "⚠️ DUPLICATE", "UNIQUE")</f>
        <v/>
      </c>
      <c r="I263" s="14">
        <f>IF(OR(ISBLANK(D263), D263=""), "Unassigned", D263)</f>
        <v/>
      </c>
      <c r="J263" s="13">
        <f>IF(G263&lt;0, "CREDIT / ADJUSTMENT", "STANDARD USAGE")</f>
        <v/>
      </c>
    </row>
    <row r="264">
      <c r="A264" s="13">
        <f>'Raw Enterprise Billing Data'!A264</f>
        <v/>
      </c>
      <c r="B264" s="13">
        <f>'Raw Enterprise Billing Data'!B264</f>
        <v/>
      </c>
      <c r="C264" s="13">
        <f>'Raw Enterprise Billing Data'!C264</f>
        <v/>
      </c>
      <c r="D264" s="14">
        <f>'Raw Enterprise Billing Data'!D264</f>
        <v/>
      </c>
      <c r="E264" s="13">
        <f>'Raw Enterprise Billing Data'!E264</f>
        <v/>
      </c>
      <c r="F264" s="14">
        <f>'Raw Enterprise Billing Data'!F264</f>
        <v/>
      </c>
      <c r="G264" s="15">
        <f>'Raw Enterprise Billing Data'!H264</f>
        <v/>
      </c>
      <c r="H264" s="13">
        <f>IF(COUNTIF($A$5:$A$499, A264)&gt;1, "⚠️ DUPLICATE", "UNIQUE")</f>
        <v/>
      </c>
      <c r="I264" s="14">
        <f>IF(OR(ISBLANK(D264), D264=""), "Unassigned", D264)</f>
        <v/>
      </c>
      <c r="J264" s="13">
        <f>IF(G264&lt;0, "CREDIT / ADJUSTMENT", "STANDARD USAGE")</f>
        <v/>
      </c>
    </row>
    <row r="265">
      <c r="A265" s="13">
        <f>'Raw Enterprise Billing Data'!A265</f>
        <v/>
      </c>
      <c r="B265" s="13">
        <f>'Raw Enterprise Billing Data'!B265</f>
        <v/>
      </c>
      <c r="C265" s="13">
        <f>'Raw Enterprise Billing Data'!C265</f>
        <v/>
      </c>
      <c r="D265" s="14">
        <f>'Raw Enterprise Billing Data'!D265</f>
        <v/>
      </c>
      <c r="E265" s="13">
        <f>'Raw Enterprise Billing Data'!E265</f>
        <v/>
      </c>
      <c r="F265" s="14">
        <f>'Raw Enterprise Billing Data'!F265</f>
        <v/>
      </c>
      <c r="G265" s="15">
        <f>'Raw Enterprise Billing Data'!H265</f>
        <v/>
      </c>
      <c r="H265" s="13">
        <f>IF(COUNTIF($A$5:$A$499, A265)&gt;1, "⚠️ DUPLICATE", "UNIQUE")</f>
        <v/>
      </c>
      <c r="I265" s="14">
        <f>IF(OR(ISBLANK(D265), D265=""), "Unassigned", D265)</f>
        <v/>
      </c>
      <c r="J265" s="13">
        <f>IF(G265&lt;0, "CREDIT / ADJUSTMENT", "STANDARD USAGE")</f>
        <v/>
      </c>
    </row>
    <row r="266">
      <c r="A266" s="13">
        <f>'Raw Enterprise Billing Data'!A266</f>
        <v/>
      </c>
      <c r="B266" s="13">
        <f>'Raw Enterprise Billing Data'!B266</f>
        <v/>
      </c>
      <c r="C266" s="13">
        <f>'Raw Enterprise Billing Data'!C266</f>
        <v/>
      </c>
      <c r="D266" s="14">
        <f>'Raw Enterprise Billing Data'!D266</f>
        <v/>
      </c>
      <c r="E266" s="13">
        <f>'Raw Enterprise Billing Data'!E266</f>
        <v/>
      </c>
      <c r="F266" s="14">
        <f>'Raw Enterprise Billing Data'!F266</f>
        <v/>
      </c>
      <c r="G266" s="15">
        <f>'Raw Enterprise Billing Data'!H266</f>
        <v/>
      </c>
      <c r="H266" s="13">
        <f>IF(COUNTIF($A$5:$A$499, A266)&gt;1, "⚠️ DUPLICATE", "UNIQUE")</f>
        <v/>
      </c>
      <c r="I266" s="14">
        <f>IF(OR(ISBLANK(D266), D266=""), "Unassigned", D266)</f>
        <v/>
      </c>
      <c r="J266" s="13">
        <f>IF(G266&lt;0, "CREDIT / ADJUSTMENT", "STANDARD USAGE")</f>
        <v/>
      </c>
    </row>
    <row r="267">
      <c r="A267" s="13">
        <f>'Raw Enterprise Billing Data'!A267</f>
        <v/>
      </c>
      <c r="B267" s="13">
        <f>'Raw Enterprise Billing Data'!B267</f>
        <v/>
      </c>
      <c r="C267" s="13">
        <f>'Raw Enterprise Billing Data'!C267</f>
        <v/>
      </c>
      <c r="D267" s="14">
        <f>'Raw Enterprise Billing Data'!D267</f>
        <v/>
      </c>
      <c r="E267" s="13">
        <f>'Raw Enterprise Billing Data'!E267</f>
        <v/>
      </c>
      <c r="F267" s="14">
        <f>'Raw Enterprise Billing Data'!F267</f>
        <v/>
      </c>
      <c r="G267" s="15">
        <f>'Raw Enterprise Billing Data'!H267</f>
        <v/>
      </c>
      <c r="H267" s="13">
        <f>IF(COUNTIF($A$5:$A$499, A267)&gt;1, "⚠️ DUPLICATE", "UNIQUE")</f>
        <v/>
      </c>
      <c r="I267" s="14">
        <f>IF(OR(ISBLANK(D267), D267=""), "Unassigned", D267)</f>
        <v/>
      </c>
      <c r="J267" s="13">
        <f>IF(G267&lt;0, "CREDIT / ADJUSTMENT", "STANDARD USAGE")</f>
        <v/>
      </c>
    </row>
    <row r="268">
      <c r="A268" s="13">
        <f>'Raw Enterprise Billing Data'!A268</f>
        <v/>
      </c>
      <c r="B268" s="13">
        <f>'Raw Enterprise Billing Data'!B268</f>
        <v/>
      </c>
      <c r="C268" s="13">
        <f>'Raw Enterprise Billing Data'!C268</f>
        <v/>
      </c>
      <c r="D268" s="14">
        <f>'Raw Enterprise Billing Data'!D268</f>
        <v/>
      </c>
      <c r="E268" s="13">
        <f>'Raw Enterprise Billing Data'!E268</f>
        <v/>
      </c>
      <c r="F268" s="14">
        <f>'Raw Enterprise Billing Data'!F268</f>
        <v/>
      </c>
      <c r="G268" s="15">
        <f>'Raw Enterprise Billing Data'!H268</f>
        <v/>
      </c>
      <c r="H268" s="13">
        <f>IF(COUNTIF($A$5:$A$499, A268)&gt;1, "⚠️ DUPLICATE", "UNIQUE")</f>
        <v/>
      </c>
      <c r="I268" s="14">
        <f>IF(OR(ISBLANK(D268), D268=""), "Unassigned", D268)</f>
        <v/>
      </c>
      <c r="J268" s="13">
        <f>IF(G268&lt;0, "CREDIT / ADJUSTMENT", "STANDARD USAGE")</f>
        <v/>
      </c>
    </row>
    <row r="269">
      <c r="A269" s="13">
        <f>'Raw Enterprise Billing Data'!A269</f>
        <v/>
      </c>
      <c r="B269" s="13">
        <f>'Raw Enterprise Billing Data'!B269</f>
        <v/>
      </c>
      <c r="C269" s="13">
        <f>'Raw Enterprise Billing Data'!C269</f>
        <v/>
      </c>
      <c r="D269" s="14">
        <f>'Raw Enterprise Billing Data'!D269</f>
        <v/>
      </c>
      <c r="E269" s="13">
        <f>'Raw Enterprise Billing Data'!E269</f>
        <v/>
      </c>
      <c r="F269" s="14">
        <f>'Raw Enterprise Billing Data'!F269</f>
        <v/>
      </c>
      <c r="G269" s="15">
        <f>'Raw Enterprise Billing Data'!H269</f>
        <v/>
      </c>
      <c r="H269" s="13">
        <f>IF(COUNTIF($A$5:$A$499, A269)&gt;1, "⚠️ DUPLICATE", "UNIQUE")</f>
        <v/>
      </c>
      <c r="I269" s="14">
        <f>IF(OR(ISBLANK(D269), D269=""), "Unassigned", D269)</f>
        <v/>
      </c>
      <c r="J269" s="13">
        <f>IF(G269&lt;0, "CREDIT / ADJUSTMENT", "STANDARD USAGE")</f>
        <v/>
      </c>
    </row>
    <row r="270">
      <c r="A270" s="13">
        <f>'Raw Enterprise Billing Data'!A270</f>
        <v/>
      </c>
      <c r="B270" s="13">
        <f>'Raw Enterprise Billing Data'!B270</f>
        <v/>
      </c>
      <c r="C270" s="13">
        <f>'Raw Enterprise Billing Data'!C270</f>
        <v/>
      </c>
      <c r="D270" s="14">
        <f>'Raw Enterprise Billing Data'!D270</f>
        <v/>
      </c>
      <c r="E270" s="13">
        <f>'Raw Enterprise Billing Data'!E270</f>
        <v/>
      </c>
      <c r="F270" s="14">
        <f>'Raw Enterprise Billing Data'!F270</f>
        <v/>
      </c>
      <c r="G270" s="15">
        <f>'Raw Enterprise Billing Data'!H270</f>
        <v/>
      </c>
      <c r="H270" s="13">
        <f>IF(COUNTIF($A$5:$A$499, A270)&gt;1, "⚠️ DUPLICATE", "UNIQUE")</f>
        <v/>
      </c>
      <c r="I270" s="14">
        <f>IF(OR(ISBLANK(D270), D270=""), "Unassigned", D270)</f>
        <v/>
      </c>
      <c r="J270" s="13">
        <f>IF(G270&lt;0, "CREDIT / ADJUSTMENT", "STANDARD USAGE")</f>
        <v/>
      </c>
    </row>
    <row r="271">
      <c r="A271" s="13">
        <f>'Raw Enterprise Billing Data'!A271</f>
        <v/>
      </c>
      <c r="B271" s="13">
        <f>'Raw Enterprise Billing Data'!B271</f>
        <v/>
      </c>
      <c r="C271" s="13">
        <f>'Raw Enterprise Billing Data'!C271</f>
        <v/>
      </c>
      <c r="D271" s="14">
        <f>'Raw Enterprise Billing Data'!D271</f>
        <v/>
      </c>
      <c r="E271" s="13">
        <f>'Raw Enterprise Billing Data'!E271</f>
        <v/>
      </c>
      <c r="F271" s="14">
        <f>'Raw Enterprise Billing Data'!F271</f>
        <v/>
      </c>
      <c r="G271" s="15">
        <f>'Raw Enterprise Billing Data'!H271</f>
        <v/>
      </c>
      <c r="H271" s="13">
        <f>IF(COUNTIF($A$5:$A$499, A271)&gt;1, "⚠️ DUPLICATE", "UNIQUE")</f>
        <v/>
      </c>
      <c r="I271" s="14">
        <f>IF(OR(ISBLANK(D271), D271=""), "Unassigned", D271)</f>
        <v/>
      </c>
      <c r="J271" s="13">
        <f>IF(G271&lt;0, "CREDIT / ADJUSTMENT", "STANDARD USAGE")</f>
        <v/>
      </c>
    </row>
    <row r="272">
      <c r="A272" s="13">
        <f>'Raw Enterprise Billing Data'!A272</f>
        <v/>
      </c>
      <c r="B272" s="13">
        <f>'Raw Enterprise Billing Data'!B272</f>
        <v/>
      </c>
      <c r="C272" s="13">
        <f>'Raw Enterprise Billing Data'!C272</f>
        <v/>
      </c>
      <c r="D272" s="14">
        <f>'Raw Enterprise Billing Data'!D272</f>
        <v/>
      </c>
      <c r="E272" s="13">
        <f>'Raw Enterprise Billing Data'!E272</f>
        <v/>
      </c>
      <c r="F272" s="14">
        <f>'Raw Enterprise Billing Data'!F272</f>
        <v/>
      </c>
      <c r="G272" s="15">
        <f>'Raw Enterprise Billing Data'!H272</f>
        <v/>
      </c>
      <c r="H272" s="13">
        <f>IF(COUNTIF($A$5:$A$499, A272)&gt;1, "⚠️ DUPLICATE", "UNIQUE")</f>
        <v/>
      </c>
      <c r="I272" s="14">
        <f>IF(OR(ISBLANK(D272), D272=""), "Unassigned", D272)</f>
        <v/>
      </c>
      <c r="J272" s="13">
        <f>IF(G272&lt;0, "CREDIT / ADJUSTMENT", "STANDARD USAGE")</f>
        <v/>
      </c>
    </row>
    <row r="273">
      <c r="A273" s="13">
        <f>'Raw Enterprise Billing Data'!A273</f>
        <v/>
      </c>
      <c r="B273" s="13">
        <f>'Raw Enterprise Billing Data'!B273</f>
        <v/>
      </c>
      <c r="C273" s="13">
        <f>'Raw Enterprise Billing Data'!C273</f>
        <v/>
      </c>
      <c r="D273" s="14">
        <f>'Raw Enterprise Billing Data'!D273</f>
        <v/>
      </c>
      <c r="E273" s="13">
        <f>'Raw Enterprise Billing Data'!E273</f>
        <v/>
      </c>
      <c r="F273" s="14">
        <f>'Raw Enterprise Billing Data'!F273</f>
        <v/>
      </c>
      <c r="G273" s="15">
        <f>'Raw Enterprise Billing Data'!H273</f>
        <v/>
      </c>
      <c r="H273" s="13">
        <f>IF(COUNTIF($A$5:$A$499, A273)&gt;1, "⚠️ DUPLICATE", "UNIQUE")</f>
        <v/>
      </c>
      <c r="I273" s="14">
        <f>IF(OR(ISBLANK(D273), D273=""), "Unassigned", D273)</f>
        <v/>
      </c>
      <c r="J273" s="13">
        <f>IF(G273&lt;0, "CREDIT / ADJUSTMENT", "STANDARD USAGE")</f>
        <v/>
      </c>
    </row>
    <row r="274">
      <c r="A274" s="13">
        <f>'Raw Enterprise Billing Data'!A274</f>
        <v/>
      </c>
      <c r="B274" s="13">
        <f>'Raw Enterprise Billing Data'!B274</f>
        <v/>
      </c>
      <c r="C274" s="13">
        <f>'Raw Enterprise Billing Data'!C274</f>
        <v/>
      </c>
      <c r="D274" s="14">
        <f>'Raw Enterprise Billing Data'!D274</f>
        <v/>
      </c>
      <c r="E274" s="13">
        <f>'Raw Enterprise Billing Data'!E274</f>
        <v/>
      </c>
      <c r="F274" s="14">
        <f>'Raw Enterprise Billing Data'!F274</f>
        <v/>
      </c>
      <c r="G274" s="15">
        <f>'Raw Enterprise Billing Data'!H274</f>
        <v/>
      </c>
      <c r="H274" s="13">
        <f>IF(COUNTIF($A$5:$A$499, A274)&gt;1, "⚠️ DUPLICATE", "UNIQUE")</f>
        <v/>
      </c>
      <c r="I274" s="14">
        <f>IF(OR(ISBLANK(D274), D274=""), "Unassigned", D274)</f>
        <v/>
      </c>
      <c r="J274" s="13">
        <f>IF(G274&lt;0, "CREDIT / ADJUSTMENT", "STANDARD USAGE")</f>
        <v/>
      </c>
    </row>
    <row r="275">
      <c r="A275" s="13">
        <f>'Raw Enterprise Billing Data'!A275</f>
        <v/>
      </c>
      <c r="B275" s="13">
        <f>'Raw Enterprise Billing Data'!B275</f>
        <v/>
      </c>
      <c r="C275" s="13">
        <f>'Raw Enterprise Billing Data'!C275</f>
        <v/>
      </c>
      <c r="D275" s="14">
        <f>'Raw Enterprise Billing Data'!D275</f>
        <v/>
      </c>
      <c r="E275" s="13">
        <f>'Raw Enterprise Billing Data'!E275</f>
        <v/>
      </c>
      <c r="F275" s="14">
        <f>'Raw Enterprise Billing Data'!F275</f>
        <v/>
      </c>
      <c r="G275" s="15">
        <f>'Raw Enterprise Billing Data'!H275</f>
        <v/>
      </c>
      <c r="H275" s="13">
        <f>IF(COUNTIF($A$5:$A$499, A275)&gt;1, "⚠️ DUPLICATE", "UNIQUE")</f>
        <v/>
      </c>
      <c r="I275" s="14">
        <f>IF(OR(ISBLANK(D275), D275=""), "Unassigned", D275)</f>
        <v/>
      </c>
      <c r="J275" s="13">
        <f>IF(G275&lt;0, "CREDIT / ADJUSTMENT", "STANDARD USAGE")</f>
        <v/>
      </c>
    </row>
    <row r="276">
      <c r="A276" s="13">
        <f>'Raw Enterprise Billing Data'!A276</f>
        <v/>
      </c>
      <c r="B276" s="13">
        <f>'Raw Enterprise Billing Data'!B276</f>
        <v/>
      </c>
      <c r="C276" s="13">
        <f>'Raw Enterprise Billing Data'!C276</f>
        <v/>
      </c>
      <c r="D276" s="14">
        <f>'Raw Enterprise Billing Data'!D276</f>
        <v/>
      </c>
      <c r="E276" s="13">
        <f>'Raw Enterprise Billing Data'!E276</f>
        <v/>
      </c>
      <c r="F276" s="14">
        <f>'Raw Enterprise Billing Data'!F276</f>
        <v/>
      </c>
      <c r="G276" s="15">
        <f>'Raw Enterprise Billing Data'!H276</f>
        <v/>
      </c>
      <c r="H276" s="13">
        <f>IF(COUNTIF($A$5:$A$499, A276)&gt;1, "⚠️ DUPLICATE", "UNIQUE")</f>
        <v/>
      </c>
      <c r="I276" s="14">
        <f>IF(OR(ISBLANK(D276), D276=""), "Unassigned", D276)</f>
        <v/>
      </c>
      <c r="J276" s="13">
        <f>IF(G276&lt;0, "CREDIT / ADJUSTMENT", "STANDARD USAGE")</f>
        <v/>
      </c>
    </row>
    <row r="277">
      <c r="A277" s="13">
        <f>'Raw Enterprise Billing Data'!A277</f>
        <v/>
      </c>
      <c r="B277" s="13">
        <f>'Raw Enterprise Billing Data'!B277</f>
        <v/>
      </c>
      <c r="C277" s="13">
        <f>'Raw Enterprise Billing Data'!C277</f>
        <v/>
      </c>
      <c r="D277" s="14">
        <f>'Raw Enterprise Billing Data'!D277</f>
        <v/>
      </c>
      <c r="E277" s="13">
        <f>'Raw Enterprise Billing Data'!E277</f>
        <v/>
      </c>
      <c r="F277" s="14">
        <f>'Raw Enterprise Billing Data'!F277</f>
        <v/>
      </c>
      <c r="G277" s="15">
        <f>'Raw Enterprise Billing Data'!H277</f>
        <v/>
      </c>
      <c r="H277" s="13">
        <f>IF(COUNTIF($A$5:$A$499, A277)&gt;1, "⚠️ DUPLICATE", "UNIQUE")</f>
        <v/>
      </c>
      <c r="I277" s="14">
        <f>IF(OR(ISBLANK(D277), D277=""), "Unassigned", D277)</f>
        <v/>
      </c>
      <c r="J277" s="13">
        <f>IF(G277&lt;0, "CREDIT / ADJUSTMENT", "STANDARD USAGE")</f>
        <v/>
      </c>
    </row>
    <row r="278">
      <c r="A278" s="13">
        <f>'Raw Enterprise Billing Data'!A278</f>
        <v/>
      </c>
      <c r="B278" s="13">
        <f>'Raw Enterprise Billing Data'!B278</f>
        <v/>
      </c>
      <c r="C278" s="13">
        <f>'Raw Enterprise Billing Data'!C278</f>
        <v/>
      </c>
      <c r="D278" s="14">
        <f>'Raw Enterprise Billing Data'!D278</f>
        <v/>
      </c>
      <c r="E278" s="13">
        <f>'Raw Enterprise Billing Data'!E278</f>
        <v/>
      </c>
      <c r="F278" s="14">
        <f>'Raw Enterprise Billing Data'!F278</f>
        <v/>
      </c>
      <c r="G278" s="15">
        <f>'Raw Enterprise Billing Data'!H278</f>
        <v/>
      </c>
      <c r="H278" s="13">
        <f>IF(COUNTIF($A$5:$A$499, A278)&gt;1, "⚠️ DUPLICATE", "UNIQUE")</f>
        <v/>
      </c>
      <c r="I278" s="14">
        <f>IF(OR(ISBLANK(D278), D278=""), "Unassigned", D278)</f>
        <v/>
      </c>
      <c r="J278" s="13">
        <f>IF(G278&lt;0, "CREDIT / ADJUSTMENT", "STANDARD USAGE")</f>
        <v/>
      </c>
    </row>
    <row r="279">
      <c r="A279" s="13">
        <f>'Raw Enterprise Billing Data'!A279</f>
        <v/>
      </c>
      <c r="B279" s="13">
        <f>'Raw Enterprise Billing Data'!B279</f>
        <v/>
      </c>
      <c r="C279" s="13">
        <f>'Raw Enterprise Billing Data'!C279</f>
        <v/>
      </c>
      <c r="D279" s="14">
        <f>'Raw Enterprise Billing Data'!D279</f>
        <v/>
      </c>
      <c r="E279" s="13">
        <f>'Raw Enterprise Billing Data'!E279</f>
        <v/>
      </c>
      <c r="F279" s="14">
        <f>'Raw Enterprise Billing Data'!F279</f>
        <v/>
      </c>
      <c r="G279" s="15">
        <f>'Raw Enterprise Billing Data'!H279</f>
        <v/>
      </c>
      <c r="H279" s="13">
        <f>IF(COUNTIF($A$5:$A$499, A279)&gt;1, "⚠️ DUPLICATE", "UNIQUE")</f>
        <v/>
      </c>
      <c r="I279" s="14">
        <f>IF(OR(ISBLANK(D279), D279=""), "Unassigned", D279)</f>
        <v/>
      </c>
      <c r="J279" s="13">
        <f>IF(G279&lt;0, "CREDIT / ADJUSTMENT", "STANDARD USAGE")</f>
        <v/>
      </c>
    </row>
    <row r="280">
      <c r="A280" s="13">
        <f>'Raw Enterprise Billing Data'!A280</f>
        <v/>
      </c>
      <c r="B280" s="13">
        <f>'Raw Enterprise Billing Data'!B280</f>
        <v/>
      </c>
      <c r="C280" s="13">
        <f>'Raw Enterprise Billing Data'!C280</f>
        <v/>
      </c>
      <c r="D280" s="14">
        <f>'Raw Enterprise Billing Data'!D280</f>
        <v/>
      </c>
      <c r="E280" s="13">
        <f>'Raw Enterprise Billing Data'!E280</f>
        <v/>
      </c>
      <c r="F280" s="14">
        <f>'Raw Enterprise Billing Data'!F280</f>
        <v/>
      </c>
      <c r="G280" s="15">
        <f>'Raw Enterprise Billing Data'!H280</f>
        <v/>
      </c>
      <c r="H280" s="13">
        <f>IF(COUNTIF($A$5:$A$499, A280)&gt;1, "⚠️ DUPLICATE", "UNIQUE")</f>
        <v/>
      </c>
      <c r="I280" s="14">
        <f>IF(OR(ISBLANK(D280), D280=""), "Unassigned", D280)</f>
        <v/>
      </c>
      <c r="J280" s="13">
        <f>IF(G280&lt;0, "CREDIT / ADJUSTMENT", "STANDARD USAGE")</f>
        <v/>
      </c>
    </row>
    <row r="281">
      <c r="A281" s="13">
        <f>'Raw Enterprise Billing Data'!A281</f>
        <v/>
      </c>
      <c r="B281" s="13">
        <f>'Raw Enterprise Billing Data'!B281</f>
        <v/>
      </c>
      <c r="C281" s="13">
        <f>'Raw Enterprise Billing Data'!C281</f>
        <v/>
      </c>
      <c r="D281" s="14">
        <f>'Raw Enterprise Billing Data'!D281</f>
        <v/>
      </c>
      <c r="E281" s="13">
        <f>'Raw Enterprise Billing Data'!E281</f>
        <v/>
      </c>
      <c r="F281" s="14">
        <f>'Raw Enterprise Billing Data'!F281</f>
        <v/>
      </c>
      <c r="G281" s="15">
        <f>'Raw Enterprise Billing Data'!H281</f>
        <v/>
      </c>
      <c r="H281" s="13">
        <f>IF(COUNTIF($A$5:$A$499, A281)&gt;1, "⚠️ DUPLICATE", "UNIQUE")</f>
        <v/>
      </c>
      <c r="I281" s="14">
        <f>IF(OR(ISBLANK(D281), D281=""), "Unassigned", D281)</f>
        <v/>
      </c>
      <c r="J281" s="13">
        <f>IF(G281&lt;0, "CREDIT / ADJUSTMENT", "STANDARD USAGE")</f>
        <v/>
      </c>
    </row>
    <row r="282">
      <c r="A282" s="13">
        <f>'Raw Enterprise Billing Data'!A282</f>
        <v/>
      </c>
      <c r="B282" s="13">
        <f>'Raw Enterprise Billing Data'!B282</f>
        <v/>
      </c>
      <c r="C282" s="13">
        <f>'Raw Enterprise Billing Data'!C282</f>
        <v/>
      </c>
      <c r="D282" s="14">
        <f>'Raw Enterprise Billing Data'!D282</f>
        <v/>
      </c>
      <c r="E282" s="13">
        <f>'Raw Enterprise Billing Data'!E282</f>
        <v/>
      </c>
      <c r="F282" s="14">
        <f>'Raw Enterprise Billing Data'!F282</f>
        <v/>
      </c>
      <c r="G282" s="15">
        <f>'Raw Enterprise Billing Data'!H282</f>
        <v/>
      </c>
      <c r="H282" s="13">
        <f>IF(COUNTIF($A$5:$A$499, A282)&gt;1, "⚠️ DUPLICATE", "UNIQUE")</f>
        <v/>
      </c>
      <c r="I282" s="14">
        <f>IF(OR(ISBLANK(D282), D282=""), "Unassigned", D282)</f>
        <v/>
      </c>
      <c r="J282" s="13">
        <f>IF(G282&lt;0, "CREDIT / ADJUSTMENT", "STANDARD USAGE")</f>
        <v/>
      </c>
    </row>
    <row r="283">
      <c r="A283" s="13">
        <f>'Raw Enterprise Billing Data'!A283</f>
        <v/>
      </c>
      <c r="B283" s="13">
        <f>'Raw Enterprise Billing Data'!B283</f>
        <v/>
      </c>
      <c r="C283" s="13">
        <f>'Raw Enterprise Billing Data'!C283</f>
        <v/>
      </c>
      <c r="D283" s="14">
        <f>'Raw Enterprise Billing Data'!D283</f>
        <v/>
      </c>
      <c r="E283" s="13">
        <f>'Raw Enterprise Billing Data'!E283</f>
        <v/>
      </c>
      <c r="F283" s="14">
        <f>'Raw Enterprise Billing Data'!F283</f>
        <v/>
      </c>
      <c r="G283" s="15">
        <f>'Raw Enterprise Billing Data'!H283</f>
        <v/>
      </c>
      <c r="H283" s="13">
        <f>IF(COUNTIF($A$5:$A$499, A283)&gt;1, "⚠️ DUPLICATE", "UNIQUE")</f>
        <v/>
      </c>
      <c r="I283" s="14">
        <f>IF(OR(ISBLANK(D283), D283=""), "Unassigned", D283)</f>
        <v/>
      </c>
      <c r="J283" s="13">
        <f>IF(G283&lt;0, "CREDIT / ADJUSTMENT", "STANDARD USAGE")</f>
        <v/>
      </c>
    </row>
    <row r="284">
      <c r="A284" s="13">
        <f>'Raw Enterprise Billing Data'!A284</f>
        <v/>
      </c>
      <c r="B284" s="13">
        <f>'Raw Enterprise Billing Data'!B284</f>
        <v/>
      </c>
      <c r="C284" s="13">
        <f>'Raw Enterprise Billing Data'!C284</f>
        <v/>
      </c>
      <c r="D284" s="14">
        <f>'Raw Enterprise Billing Data'!D284</f>
        <v/>
      </c>
      <c r="E284" s="13">
        <f>'Raw Enterprise Billing Data'!E284</f>
        <v/>
      </c>
      <c r="F284" s="14">
        <f>'Raw Enterprise Billing Data'!F284</f>
        <v/>
      </c>
      <c r="G284" s="15">
        <f>'Raw Enterprise Billing Data'!H284</f>
        <v/>
      </c>
      <c r="H284" s="13">
        <f>IF(COUNTIF($A$5:$A$499, A284)&gt;1, "⚠️ DUPLICATE", "UNIQUE")</f>
        <v/>
      </c>
      <c r="I284" s="14">
        <f>IF(OR(ISBLANK(D284), D284=""), "Unassigned", D284)</f>
        <v/>
      </c>
      <c r="J284" s="13">
        <f>IF(G284&lt;0, "CREDIT / ADJUSTMENT", "STANDARD USAGE")</f>
        <v/>
      </c>
    </row>
    <row r="285">
      <c r="A285" s="13">
        <f>'Raw Enterprise Billing Data'!A285</f>
        <v/>
      </c>
      <c r="B285" s="13">
        <f>'Raw Enterprise Billing Data'!B285</f>
        <v/>
      </c>
      <c r="C285" s="13">
        <f>'Raw Enterprise Billing Data'!C285</f>
        <v/>
      </c>
      <c r="D285" s="14">
        <f>'Raw Enterprise Billing Data'!D285</f>
        <v/>
      </c>
      <c r="E285" s="13">
        <f>'Raw Enterprise Billing Data'!E285</f>
        <v/>
      </c>
      <c r="F285" s="14">
        <f>'Raw Enterprise Billing Data'!F285</f>
        <v/>
      </c>
      <c r="G285" s="15">
        <f>'Raw Enterprise Billing Data'!H285</f>
        <v/>
      </c>
      <c r="H285" s="13">
        <f>IF(COUNTIF($A$5:$A$499, A285)&gt;1, "⚠️ DUPLICATE", "UNIQUE")</f>
        <v/>
      </c>
      <c r="I285" s="14">
        <f>IF(OR(ISBLANK(D285), D285=""), "Unassigned", D285)</f>
        <v/>
      </c>
      <c r="J285" s="13">
        <f>IF(G285&lt;0, "CREDIT / ADJUSTMENT", "STANDARD USAGE")</f>
        <v/>
      </c>
    </row>
    <row r="286">
      <c r="A286" s="13">
        <f>'Raw Enterprise Billing Data'!A286</f>
        <v/>
      </c>
      <c r="B286" s="13">
        <f>'Raw Enterprise Billing Data'!B286</f>
        <v/>
      </c>
      <c r="C286" s="13">
        <f>'Raw Enterprise Billing Data'!C286</f>
        <v/>
      </c>
      <c r="D286" s="14">
        <f>'Raw Enterprise Billing Data'!D286</f>
        <v/>
      </c>
      <c r="E286" s="13">
        <f>'Raw Enterprise Billing Data'!E286</f>
        <v/>
      </c>
      <c r="F286" s="14">
        <f>'Raw Enterprise Billing Data'!F286</f>
        <v/>
      </c>
      <c r="G286" s="15">
        <f>'Raw Enterprise Billing Data'!H286</f>
        <v/>
      </c>
      <c r="H286" s="13">
        <f>IF(COUNTIF($A$5:$A$499, A286)&gt;1, "⚠️ DUPLICATE", "UNIQUE")</f>
        <v/>
      </c>
      <c r="I286" s="14">
        <f>IF(OR(ISBLANK(D286), D286=""), "Unassigned", D286)</f>
        <v/>
      </c>
      <c r="J286" s="13">
        <f>IF(G286&lt;0, "CREDIT / ADJUSTMENT", "STANDARD USAGE")</f>
        <v/>
      </c>
    </row>
    <row r="287">
      <c r="A287" s="13">
        <f>'Raw Enterprise Billing Data'!A287</f>
        <v/>
      </c>
      <c r="B287" s="13">
        <f>'Raw Enterprise Billing Data'!B287</f>
        <v/>
      </c>
      <c r="C287" s="13">
        <f>'Raw Enterprise Billing Data'!C287</f>
        <v/>
      </c>
      <c r="D287" s="14">
        <f>'Raw Enterprise Billing Data'!D287</f>
        <v/>
      </c>
      <c r="E287" s="13">
        <f>'Raw Enterprise Billing Data'!E287</f>
        <v/>
      </c>
      <c r="F287" s="14">
        <f>'Raw Enterprise Billing Data'!F287</f>
        <v/>
      </c>
      <c r="G287" s="15">
        <f>'Raw Enterprise Billing Data'!H287</f>
        <v/>
      </c>
      <c r="H287" s="13">
        <f>IF(COUNTIF($A$5:$A$499, A287)&gt;1, "⚠️ DUPLICATE", "UNIQUE")</f>
        <v/>
      </c>
      <c r="I287" s="14">
        <f>IF(OR(ISBLANK(D287), D287=""), "Unassigned", D287)</f>
        <v/>
      </c>
      <c r="J287" s="13">
        <f>IF(G287&lt;0, "CREDIT / ADJUSTMENT", "STANDARD USAGE")</f>
        <v/>
      </c>
    </row>
    <row r="288">
      <c r="A288" s="13">
        <f>'Raw Enterprise Billing Data'!A288</f>
        <v/>
      </c>
      <c r="B288" s="13">
        <f>'Raw Enterprise Billing Data'!B288</f>
        <v/>
      </c>
      <c r="C288" s="13">
        <f>'Raw Enterprise Billing Data'!C288</f>
        <v/>
      </c>
      <c r="D288" s="14">
        <f>'Raw Enterprise Billing Data'!D288</f>
        <v/>
      </c>
      <c r="E288" s="13">
        <f>'Raw Enterprise Billing Data'!E288</f>
        <v/>
      </c>
      <c r="F288" s="14">
        <f>'Raw Enterprise Billing Data'!F288</f>
        <v/>
      </c>
      <c r="G288" s="15">
        <f>'Raw Enterprise Billing Data'!H288</f>
        <v/>
      </c>
      <c r="H288" s="13">
        <f>IF(COUNTIF($A$5:$A$499, A288)&gt;1, "⚠️ DUPLICATE", "UNIQUE")</f>
        <v/>
      </c>
      <c r="I288" s="14">
        <f>IF(OR(ISBLANK(D288), D288=""), "Unassigned", D288)</f>
        <v/>
      </c>
      <c r="J288" s="13">
        <f>IF(G288&lt;0, "CREDIT / ADJUSTMENT", "STANDARD USAGE")</f>
        <v/>
      </c>
    </row>
    <row r="289">
      <c r="A289" s="13">
        <f>'Raw Enterprise Billing Data'!A289</f>
        <v/>
      </c>
      <c r="B289" s="13">
        <f>'Raw Enterprise Billing Data'!B289</f>
        <v/>
      </c>
      <c r="C289" s="13">
        <f>'Raw Enterprise Billing Data'!C289</f>
        <v/>
      </c>
      <c r="D289" s="14">
        <f>'Raw Enterprise Billing Data'!D289</f>
        <v/>
      </c>
      <c r="E289" s="13">
        <f>'Raw Enterprise Billing Data'!E289</f>
        <v/>
      </c>
      <c r="F289" s="14">
        <f>'Raw Enterprise Billing Data'!F289</f>
        <v/>
      </c>
      <c r="G289" s="15">
        <f>'Raw Enterprise Billing Data'!H289</f>
        <v/>
      </c>
      <c r="H289" s="13">
        <f>IF(COUNTIF($A$5:$A$499, A289)&gt;1, "⚠️ DUPLICATE", "UNIQUE")</f>
        <v/>
      </c>
      <c r="I289" s="14">
        <f>IF(OR(ISBLANK(D289), D289=""), "Unassigned", D289)</f>
        <v/>
      </c>
      <c r="J289" s="13">
        <f>IF(G289&lt;0, "CREDIT / ADJUSTMENT", "STANDARD USAGE")</f>
        <v/>
      </c>
    </row>
    <row r="290">
      <c r="A290" s="13">
        <f>'Raw Enterprise Billing Data'!A290</f>
        <v/>
      </c>
      <c r="B290" s="13">
        <f>'Raw Enterprise Billing Data'!B290</f>
        <v/>
      </c>
      <c r="C290" s="13">
        <f>'Raw Enterprise Billing Data'!C290</f>
        <v/>
      </c>
      <c r="D290" s="14">
        <f>'Raw Enterprise Billing Data'!D290</f>
        <v/>
      </c>
      <c r="E290" s="13">
        <f>'Raw Enterprise Billing Data'!E290</f>
        <v/>
      </c>
      <c r="F290" s="14">
        <f>'Raw Enterprise Billing Data'!F290</f>
        <v/>
      </c>
      <c r="G290" s="15">
        <f>'Raw Enterprise Billing Data'!H290</f>
        <v/>
      </c>
      <c r="H290" s="13">
        <f>IF(COUNTIF($A$5:$A$499, A290)&gt;1, "⚠️ DUPLICATE", "UNIQUE")</f>
        <v/>
      </c>
      <c r="I290" s="14">
        <f>IF(OR(ISBLANK(D290), D290=""), "Unassigned", D290)</f>
        <v/>
      </c>
      <c r="J290" s="13">
        <f>IF(G290&lt;0, "CREDIT / ADJUSTMENT", "STANDARD USAGE")</f>
        <v/>
      </c>
    </row>
    <row r="291">
      <c r="A291" s="13">
        <f>'Raw Enterprise Billing Data'!A291</f>
        <v/>
      </c>
      <c r="B291" s="13">
        <f>'Raw Enterprise Billing Data'!B291</f>
        <v/>
      </c>
      <c r="C291" s="13">
        <f>'Raw Enterprise Billing Data'!C291</f>
        <v/>
      </c>
      <c r="D291" s="14">
        <f>'Raw Enterprise Billing Data'!D291</f>
        <v/>
      </c>
      <c r="E291" s="13">
        <f>'Raw Enterprise Billing Data'!E291</f>
        <v/>
      </c>
      <c r="F291" s="14">
        <f>'Raw Enterprise Billing Data'!F291</f>
        <v/>
      </c>
      <c r="G291" s="15">
        <f>'Raw Enterprise Billing Data'!H291</f>
        <v/>
      </c>
      <c r="H291" s="13">
        <f>IF(COUNTIF($A$5:$A$499, A291)&gt;1, "⚠️ DUPLICATE", "UNIQUE")</f>
        <v/>
      </c>
      <c r="I291" s="14">
        <f>IF(OR(ISBLANK(D291), D291=""), "Unassigned", D291)</f>
        <v/>
      </c>
      <c r="J291" s="13">
        <f>IF(G291&lt;0, "CREDIT / ADJUSTMENT", "STANDARD USAGE")</f>
        <v/>
      </c>
    </row>
    <row r="292">
      <c r="A292" s="13">
        <f>'Raw Enterprise Billing Data'!A292</f>
        <v/>
      </c>
      <c r="B292" s="13">
        <f>'Raw Enterprise Billing Data'!B292</f>
        <v/>
      </c>
      <c r="C292" s="13">
        <f>'Raw Enterprise Billing Data'!C292</f>
        <v/>
      </c>
      <c r="D292" s="14">
        <f>'Raw Enterprise Billing Data'!D292</f>
        <v/>
      </c>
      <c r="E292" s="13">
        <f>'Raw Enterprise Billing Data'!E292</f>
        <v/>
      </c>
      <c r="F292" s="14">
        <f>'Raw Enterprise Billing Data'!F292</f>
        <v/>
      </c>
      <c r="G292" s="15">
        <f>'Raw Enterprise Billing Data'!H292</f>
        <v/>
      </c>
      <c r="H292" s="13">
        <f>IF(COUNTIF($A$5:$A$499, A292)&gt;1, "⚠️ DUPLICATE", "UNIQUE")</f>
        <v/>
      </c>
      <c r="I292" s="14">
        <f>IF(OR(ISBLANK(D292), D292=""), "Unassigned", D292)</f>
        <v/>
      </c>
      <c r="J292" s="13">
        <f>IF(G292&lt;0, "CREDIT / ADJUSTMENT", "STANDARD USAGE")</f>
        <v/>
      </c>
    </row>
    <row r="293">
      <c r="A293" s="13">
        <f>'Raw Enterprise Billing Data'!A293</f>
        <v/>
      </c>
      <c r="B293" s="13">
        <f>'Raw Enterprise Billing Data'!B293</f>
        <v/>
      </c>
      <c r="C293" s="13">
        <f>'Raw Enterprise Billing Data'!C293</f>
        <v/>
      </c>
      <c r="D293" s="14">
        <f>'Raw Enterprise Billing Data'!D293</f>
        <v/>
      </c>
      <c r="E293" s="13">
        <f>'Raw Enterprise Billing Data'!E293</f>
        <v/>
      </c>
      <c r="F293" s="14">
        <f>'Raw Enterprise Billing Data'!F293</f>
        <v/>
      </c>
      <c r="G293" s="15">
        <f>'Raw Enterprise Billing Data'!H293</f>
        <v/>
      </c>
      <c r="H293" s="13">
        <f>IF(COUNTIF($A$5:$A$499, A293)&gt;1, "⚠️ DUPLICATE", "UNIQUE")</f>
        <v/>
      </c>
      <c r="I293" s="14">
        <f>IF(OR(ISBLANK(D293), D293=""), "Unassigned", D293)</f>
        <v/>
      </c>
      <c r="J293" s="13">
        <f>IF(G293&lt;0, "CREDIT / ADJUSTMENT", "STANDARD USAGE")</f>
        <v/>
      </c>
    </row>
    <row r="294">
      <c r="A294" s="13">
        <f>'Raw Enterprise Billing Data'!A294</f>
        <v/>
      </c>
      <c r="B294" s="13">
        <f>'Raw Enterprise Billing Data'!B294</f>
        <v/>
      </c>
      <c r="C294" s="13">
        <f>'Raw Enterprise Billing Data'!C294</f>
        <v/>
      </c>
      <c r="D294" s="14">
        <f>'Raw Enterprise Billing Data'!D294</f>
        <v/>
      </c>
      <c r="E294" s="13">
        <f>'Raw Enterprise Billing Data'!E294</f>
        <v/>
      </c>
      <c r="F294" s="14">
        <f>'Raw Enterprise Billing Data'!F294</f>
        <v/>
      </c>
      <c r="G294" s="15">
        <f>'Raw Enterprise Billing Data'!H294</f>
        <v/>
      </c>
      <c r="H294" s="13">
        <f>IF(COUNTIF($A$5:$A$499, A294)&gt;1, "⚠️ DUPLICATE", "UNIQUE")</f>
        <v/>
      </c>
      <c r="I294" s="14">
        <f>IF(OR(ISBLANK(D294), D294=""), "Unassigned", D294)</f>
        <v/>
      </c>
      <c r="J294" s="13">
        <f>IF(G294&lt;0, "CREDIT / ADJUSTMENT", "STANDARD USAGE")</f>
        <v/>
      </c>
    </row>
    <row r="295">
      <c r="A295" s="13">
        <f>'Raw Enterprise Billing Data'!A295</f>
        <v/>
      </c>
      <c r="B295" s="13">
        <f>'Raw Enterprise Billing Data'!B295</f>
        <v/>
      </c>
      <c r="C295" s="13">
        <f>'Raw Enterprise Billing Data'!C295</f>
        <v/>
      </c>
      <c r="D295" s="14">
        <f>'Raw Enterprise Billing Data'!D295</f>
        <v/>
      </c>
      <c r="E295" s="13">
        <f>'Raw Enterprise Billing Data'!E295</f>
        <v/>
      </c>
      <c r="F295" s="14">
        <f>'Raw Enterprise Billing Data'!F295</f>
        <v/>
      </c>
      <c r="G295" s="15">
        <f>'Raw Enterprise Billing Data'!H295</f>
        <v/>
      </c>
      <c r="H295" s="13">
        <f>IF(COUNTIF($A$5:$A$499, A295)&gt;1, "⚠️ DUPLICATE", "UNIQUE")</f>
        <v/>
      </c>
      <c r="I295" s="14">
        <f>IF(OR(ISBLANK(D295), D295=""), "Unassigned", D295)</f>
        <v/>
      </c>
      <c r="J295" s="13">
        <f>IF(G295&lt;0, "CREDIT / ADJUSTMENT", "STANDARD USAGE")</f>
        <v/>
      </c>
    </row>
    <row r="296">
      <c r="A296" s="13">
        <f>'Raw Enterprise Billing Data'!A296</f>
        <v/>
      </c>
      <c r="B296" s="13">
        <f>'Raw Enterprise Billing Data'!B296</f>
        <v/>
      </c>
      <c r="C296" s="13">
        <f>'Raw Enterprise Billing Data'!C296</f>
        <v/>
      </c>
      <c r="D296" s="14">
        <f>'Raw Enterprise Billing Data'!D296</f>
        <v/>
      </c>
      <c r="E296" s="13">
        <f>'Raw Enterprise Billing Data'!E296</f>
        <v/>
      </c>
      <c r="F296" s="14">
        <f>'Raw Enterprise Billing Data'!F296</f>
        <v/>
      </c>
      <c r="G296" s="15">
        <f>'Raw Enterprise Billing Data'!H296</f>
        <v/>
      </c>
      <c r="H296" s="13">
        <f>IF(COUNTIF($A$5:$A$499, A296)&gt;1, "⚠️ DUPLICATE", "UNIQUE")</f>
        <v/>
      </c>
      <c r="I296" s="14">
        <f>IF(OR(ISBLANK(D296), D296=""), "Unassigned", D296)</f>
        <v/>
      </c>
      <c r="J296" s="13">
        <f>IF(G296&lt;0, "CREDIT / ADJUSTMENT", "STANDARD USAGE")</f>
        <v/>
      </c>
    </row>
    <row r="297">
      <c r="A297" s="13">
        <f>'Raw Enterprise Billing Data'!A297</f>
        <v/>
      </c>
      <c r="B297" s="13">
        <f>'Raw Enterprise Billing Data'!B297</f>
        <v/>
      </c>
      <c r="C297" s="13">
        <f>'Raw Enterprise Billing Data'!C297</f>
        <v/>
      </c>
      <c r="D297" s="14">
        <f>'Raw Enterprise Billing Data'!D297</f>
        <v/>
      </c>
      <c r="E297" s="13">
        <f>'Raw Enterprise Billing Data'!E297</f>
        <v/>
      </c>
      <c r="F297" s="14">
        <f>'Raw Enterprise Billing Data'!F297</f>
        <v/>
      </c>
      <c r="G297" s="15">
        <f>'Raw Enterprise Billing Data'!H297</f>
        <v/>
      </c>
      <c r="H297" s="13">
        <f>IF(COUNTIF($A$5:$A$499, A297)&gt;1, "⚠️ DUPLICATE", "UNIQUE")</f>
        <v/>
      </c>
      <c r="I297" s="14">
        <f>IF(OR(ISBLANK(D297), D297=""), "Unassigned", D297)</f>
        <v/>
      </c>
      <c r="J297" s="13">
        <f>IF(G297&lt;0, "CREDIT / ADJUSTMENT", "STANDARD USAGE")</f>
        <v/>
      </c>
    </row>
    <row r="298">
      <c r="A298" s="13">
        <f>'Raw Enterprise Billing Data'!A298</f>
        <v/>
      </c>
      <c r="B298" s="13">
        <f>'Raw Enterprise Billing Data'!B298</f>
        <v/>
      </c>
      <c r="C298" s="13">
        <f>'Raw Enterprise Billing Data'!C298</f>
        <v/>
      </c>
      <c r="D298" s="14">
        <f>'Raw Enterprise Billing Data'!D298</f>
        <v/>
      </c>
      <c r="E298" s="13">
        <f>'Raw Enterprise Billing Data'!E298</f>
        <v/>
      </c>
      <c r="F298" s="14">
        <f>'Raw Enterprise Billing Data'!F298</f>
        <v/>
      </c>
      <c r="G298" s="15">
        <f>'Raw Enterprise Billing Data'!H298</f>
        <v/>
      </c>
      <c r="H298" s="13">
        <f>IF(COUNTIF($A$5:$A$499, A298)&gt;1, "⚠️ DUPLICATE", "UNIQUE")</f>
        <v/>
      </c>
      <c r="I298" s="14">
        <f>IF(OR(ISBLANK(D298), D298=""), "Unassigned", D298)</f>
        <v/>
      </c>
      <c r="J298" s="13">
        <f>IF(G298&lt;0, "CREDIT / ADJUSTMENT", "STANDARD USAGE")</f>
        <v/>
      </c>
    </row>
    <row r="299">
      <c r="A299" s="13">
        <f>'Raw Enterprise Billing Data'!A299</f>
        <v/>
      </c>
      <c r="B299" s="13">
        <f>'Raw Enterprise Billing Data'!B299</f>
        <v/>
      </c>
      <c r="C299" s="13">
        <f>'Raw Enterprise Billing Data'!C299</f>
        <v/>
      </c>
      <c r="D299" s="14">
        <f>'Raw Enterprise Billing Data'!D299</f>
        <v/>
      </c>
      <c r="E299" s="13">
        <f>'Raw Enterprise Billing Data'!E299</f>
        <v/>
      </c>
      <c r="F299" s="14">
        <f>'Raw Enterprise Billing Data'!F299</f>
        <v/>
      </c>
      <c r="G299" s="15">
        <f>'Raw Enterprise Billing Data'!H299</f>
        <v/>
      </c>
      <c r="H299" s="13">
        <f>IF(COUNTIF($A$5:$A$499, A299)&gt;1, "⚠️ DUPLICATE", "UNIQUE")</f>
        <v/>
      </c>
      <c r="I299" s="14">
        <f>IF(OR(ISBLANK(D299), D299=""), "Unassigned", D299)</f>
        <v/>
      </c>
      <c r="J299" s="13">
        <f>IF(G299&lt;0, "CREDIT / ADJUSTMENT", "STANDARD USAGE")</f>
        <v/>
      </c>
    </row>
    <row r="300">
      <c r="A300" s="13">
        <f>'Raw Enterprise Billing Data'!A300</f>
        <v/>
      </c>
      <c r="B300" s="13">
        <f>'Raw Enterprise Billing Data'!B300</f>
        <v/>
      </c>
      <c r="C300" s="13">
        <f>'Raw Enterprise Billing Data'!C300</f>
        <v/>
      </c>
      <c r="D300" s="14">
        <f>'Raw Enterprise Billing Data'!D300</f>
        <v/>
      </c>
      <c r="E300" s="13">
        <f>'Raw Enterprise Billing Data'!E300</f>
        <v/>
      </c>
      <c r="F300" s="14">
        <f>'Raw Enterprise Billing Data'!F300</f>
        <v/>
      </c>
      <c r="G300" s="15">
        <f>'Raw Enterprise Billing Data'!H300</f>
        <v/>
      </c>
      <c r="H300" s="13">
        <f>IF(COUNTIF($A$5:$A$499, A300)&gt;1, "⚠️ DUPLICATE", "UNIQUE")</f>
        <v/>
      </c>
      <c r="I300" s="14">
        <f>IF(OR(ISBLANK(D300), D300=""), "Unassigned", D300)</f>
        <v/>
      </c>
      <c r="J300" s="13">
        <f>IF(G300&lt;0, "CREDIT / ADJUSTMENT", "STANDARD USAGE")</f>
        <v/>
      </c>
    </row>
    <row r="301">
      <c r="A301" s="13">
        <f>'Raw Enterprise Billing Data'!A301</f>
        <v/>
      </c>
      <c r="B301" s="13">
        <f>'Raw Enterprise Billing Data'!B301</f>
        <v/>
      </c>
      <c r="C301" s="13">
        <f>'Raw Enterprise Billing Data'!C301</f>
        <v/>
      </c>
      <c r="D301" s="14">
        <f>'Raw Enterprise Billing Data'!D301</f>
        <v/>
      </c>
      <c r="E301" s="13">
        <f>'Raw Enterprise Billing Data'!E301</f>
        <v/>
      </c>
      <c r="F301" s="14">
        <f>'Raw Enterprise Billing Data'!F301</f>
        <v/>
      </c>
      <c r="G301" s="15">
        <f>'Raw Enterprise Billing Data'!H301</f>
        <v/>
      </c>
      <c r="H301" s="13">
        <f>IF(COUNTIF($A$5:$A$499, A301)&gt;1, "⚠️ DUPLICATE", "UNIQUE")</f>
        <v/>
      </c>
      <c r="I301" s="14">
        <f>IF(OR(ISBLANK(D301), D301=""), "Unassigned", D301)</f>
        <v/>
      </c>
      <c r="J301" s="13">
        <f>IF(G301&lt;0, "CREDIT / ADJUSTMENT", "STANDARD USAGE")</f>
        <v/>
      </c>
    </row>
    <row r="302">
      <c r="A302" s="13">
        <f>'Raw Enterprise Billing Data'!A302</f>
        <v/>
      </c>
      <c r="B302" s="13">
        <f>'Raw Enterprise Billing Data'!B302</f>
        <v/>
      </c>
      <c r="C302" s="13">
        <f>'Raw Enterprise Billing Data'!C302</f>
        <v/>
      </c>
      <c r="D302" s="14">
        <f>'Raw Enterprise Billing Data'!D302</f>
        <v/>
      </c>
      <c r="E302" s="13">
        <f>'Raw Enterprise Billing Data'!E302</f>
        <v/>
      </c>
      <c r="F302" s="14">
        <f>'Raw Enterprise Billing Data'!F302</f>
        <v/>
      </c>
      <c r="G302" s="15">
        <f>'Raw Enterprise Billing Data'!H302</f>
        <v/>
      </c>
      <c r="H302" s="13">
        <f>IF(COUNTIF($A$5:$A$499, A302)&gt;1, "⚠️ DUPLICATE", "UNIQUE")</f>
        <v/>
      </c>
      <c r="I302" s="14">
        <f>IF(OR(ISBLANK(D302), D302=""), "Unassigned", D302)</f>
        <v/>
      </c>
      <c r="J302" s="13">
        <f>IF(G302&lt;0, "CREDIT / ADJUSTMENT", "STANDARD USAGE")</f>
        <v/>
      </c>
    </row>
    <row r="303">
      <c r="A303" s="13">
        <f>'Raw Enterprise Billing Data'!A303</f>
        <v/>
      </c>
      <c r="B303" s="13">
        <f>'Raw Enterprise Billing Data'!B303</f>
        <v/>
      </c>
      <c r="C303" s="13">
        <f>'Raw Enterprise Billing Data'!C303</f>
        <v/>
      </c>
      <c r="D303" s="14">
        <f>'Raw Enterprise Billing Data'!D303</f>
        <v/>
      </c>
      <c r="E303" s="13">
        <f>'Raw Enterprise Billing Data'!E303</f>
        <v/>
      </c>
      <c r="F303" s="14">
        <f>'Raw Enterprise Billing Data'!F303</f>
        <v/>
      </c>
      <c r="G303" s="15">
        <f>'Raw Enterprise Billing Data'!H303</f>
        <v/>
      </c>
      <c r="H303" s="13">
        <f>IF(COUNTIF($A$5:$A$499, A303)&gt;1, "⚠️ DUPLICATE", "UNIQUE")</f>
        <v/>
      </c>
      <c r="I303" s="14">
        <f>IF(OR(ISBLANK(D303), D303=""), "Unassigned", D303)</f>
        <v/>
      </c>
      <c r="J303" s="13">
        <f>IF(G303&lt;0, "CREDIT / ADJUSTMENT", "STANDARD USAGE")</f>
        <v/>
      </c>
    </row>
    <row r="304">
      <c r="A304" s="13">
        <f>'Raw Enterprise Billing Data'!A304</f>
        <v/>
      </c>
      <c r="B304" s="13">
        <f>'Raw Enterprise Billing Data'!B304</f>
        <v/>
      </c>
      <c r="C304" s="13">
        <f>'Raw Enterprise Billing Data'!C304</f>
        <v/>
      </c>
      <c r="D304" s="14">
        <f>'Raw Enterprise Billing Data'!D304</f>
        <v/>
      </c>
      <c r="E304" s="13">
        <f>'Raw Enterprise Billing Data'!E304</f>
        <v/>
      </c>
      <c r="F304" s="14">
        <f>'Raw Enterprise Billing Data'!F304</f>
        <v/>
      </c>
      <c r="G304" s="15">
        <f>'Raw Enterprise Billing Data'!H304</f>
        <v/>
      </c>
      <c r="H304" s="13">
        <f>IF(COUNTIF($A$5:$A$499, A304)&gt;1, "⚠️ DUPLICATE", "UNIQUE")</f>
        <v/>
      </c>
      <c r="I304" s="14">
        <f>IF(OR(ISBLANK(D304), D304=""), "Unassigned", D304)</f>
        <v/>
      </c>
      <c r="J304" s="13">
        <f>IF(G304&lt;0, "CREDIT / ADJUSTMENT", "STANDARD USAGE")</f>
        <v/>
      </c>
    </row>
    <row r="305">
      <c r="A305" s="13">
        <f>'Raw Enterprise Billing Data'!A305</f>
        <v/>
      </c>
      <c r="B305" s="13">
        <f>'Raw Enterprise Billing Data'!B305</f>
        <v/>
      </c>
      <c r="C305" s="13">
        <f>'Raw Enterprise Billing Data'!C305</f>
        <v/>
      </c>
      <c r="D305" s="14">
        <f>'Raw Enterprise Billing Data'!D305</f>
        <v/>
      </c>
      <c r="E305" s="13">
        <f>'Raw Enterprise Billing Data'!E305</f>
        <v/>
      </c>
      <c r="F305" s="14">
        <f>'Raw Enterprise Billing Data'!F305</f>
        <v/>
      </c>
      <c r="G305" s="15">
        <f>'Raw Enterprise Billing Data'!H305</f>
        <v/>
      </c>
      <c r="H305" s="13">
        <f>IF(COUNTIF($A$5:$A$499, A305)&gt;1, "⚠️ DUPLICATE", "UNIQUE")</f>
        <v/>
      </c>
      <c r="I305" s="14">
        <f>IF(OR(ISBLANK(D305), D305=""), "Unassigned", D305)</f>
        <v/>
      </c>
      <c r="J305" s="13">
        <f>IF(G305&lt;0, "CREDIT / ADJUSTMENT", "STANDARD USAGE")</f>
        <v/>
      </c>
    </row>
    <row r="306">
      <c r="A306" s="13">
        <f>'Raw Enterprise Billing Data'!A306</f>
        <v/>
      </c>
      <c r="B306" s="13">
        <f>'Raw Enterprise Billing Data'!B306</f>
        <v/>
      </c>
      <c r="C306" s="13">
        <f>'Raw Enterprise Billing Data'!C306</f>
        <v/>
      </c>
      <c r="D306" s="14">
        <f>'Raw Enterprise Billing Data'!D306</f>
        <v/>
      </c>
      <c r="E306" s="13">
        <f>'Raw Enterprise Billing Data'!E306</f>
        <v/>
      </c>
      <c r="F306" s="14">
        <f>'Raw Enterprise Billing Data'!F306</f>
        <v/>
      </c>
      <c r="G306" s="15">
        <f>'Raw Enterprise Billing Data'!H306</f>
        <v/>
      </c>
      <c r="H306" s="13">
        <f>IF(COUNTIF($A$5:$A$499, A306)&gt;1, "⚠️ DUPLICATE", "UNIQUE")</f>
        <v/>
      </c>
      <c r="I306" s="14">
        <f>IF(OR(ISBLANK(D306), D306=""), "Unassigned", D306)</f>
        <v/>
      </c>
      <c r="J306" s="13">
        <f>IF(G306&lt;0, "CREDIT / ADJUSTMENT", "STANDARD USAGE")</f>
        <v/>
      </c>
    </row>
    <row r="307">
      <c r="A307" s="13">
        <f>'Raw Enterprise Billing Data'!A307</f>
        <v/>
      </c>
      <c r="B307" s="13">
        <f>'Raw Enterprise Billing Data'!B307</f>
        <v/>
      </c>
      <c r="C307" s="13">
        <f>'Raw Enterprise Billing Data'!C307</f>
        <v/>
      </c>
      <c r="D307" s="14">
        <f>'Raw Enterprise Billing Data'!D307</f>
        <v/>
      </c>
      <c r="E307" s="13">
        <f>'Raw Enterprise Billing Data'!E307</f>
        <v/>
      </c>
      <c r="F307" s="14">
        <f>'Raw Enterprise Billing Data'!F307</f>
        <v/>
      </c>
      <c r="G307" s="15">
        <f>'Raw Enterprise Billing Data'!H307</f>
        <v/>
      </c>
      <c r="H307" s="13">
        <f>IF(COUNTIF($A$5:$A$499, A307)&gt;1, "⚠️ DUPLICATE", "UNIQUE")</f>
        <v/>
      </c>
      <c r="I307" s="14">
        <f>IF(OR(ISBLANK(D307), D307=""), "Unassigned", D307)</f>
        <v/>
      </c>
      <c r="J307" s="13">
        <f>IF(G307&lt;0, "CREDIT / ADJUSTMENT", "STANDARD USAGE")</f>
        <v/>
      </c>
    </row>
    <row r="308">
      <c r="A308" s="13">
        <f>'Raw Enterprise Billing Data'!A308</f>
        <v/>
      </c>
      <c r="B308" s="13">
        <f>'Raw Enterprise Billing Data'!B308</f>
        <v/>
      </c>
      <c r="C308" s="13">
        <f>'Raw Enterprise Billing Data'!C308</f>
        <v/>
      </c>
      <c r="D308" s="14">
        <f>'Raw Enterprise Billing Data'!D308</f>
        <v/>
      </c>
      <c r="E308" s="13">
        <f>'Raw Enterprise Billing Data'!E308</f>
        <v/>
      </c>
      <c r="F308" s="14">
        <f>'Raw Enterprise Billing Data'!F308</f>
        <v/>
      </c>
      <c r="G308" s="15">
        <f>'Raw Enterprise Billing Data'!H308</f>
        <v/>
      </c>
      <c r="H308" s="13">
        <f>IF(COUNTIF($A$5:$A$499, A308)&gt;1, "⚠️ DUPLICATE", "UNIQUE")</f>
        <v/>
      </c>
      <c r="I308" s="14">
        <f>IF(OR(ISBLANK(D308), D308=""), "Unassigned", D308)</f>
        <v/>
      </c>
      <c r="J308" s="13">
        <f>IF(G308&lt;0, "CREDIT / ADJUSTMENT", "STANDARD USAGE")</f>
        <v/>
      </c>
    </row>
    <row r="309">
      <c r="A309" s="13">
        <f>'Raw Enterprise Billing Data'!A309</f>
        <v/>
      </c>
      <c r="B309" s="13">
        <f>'Raw Enterprise Billing Data'!B309</f>
        <v/>
      </c>
      <c r="C309" s="13">
        <f>'Raw Enterprise Billing Data'!C309</f>
        <v/>
      </c>
      <c r="D309" s="14">
        <f>'Raw Enterprise Billing Data'!D309</f>
        <v/>
      </c>
      <c r="E309" s="13">
        <f>'Raw Enterprise Billing Data'!E309</f>
        <v/>
      </c>
      <c r="F309" s="14">
        <f>'Raw Enterprise Billing Data'!F309</f>
        <v/>
      </c>
      <c r="G309" s="15">
        <f>'Raw Enterprise Billing Data'!H309</f>
        <v/>
      </c>
      <c r="H309" s="13">
        <f>IF(COUNTIF($A$5:$A$499, A309)&gt;1, "⚠️ DUPLICATE", "UNIQUE")</f>
        <v/>
      </c>
      <c r="I309" s="14">
        <f>IF(OR(ISBLANK(D309), D309=""), "Unassigned", D309)</f>
        <v/>
      </c>
      <c r="J309" s="13">
        <f>IF(G309&lt;0, "CREDIT / ADJUSTMENT", "STANDARD USAGE")</f>
        <v/>
      </c>
    </row>
    <row r="310">
      <c r="A310" s="13">
        <f>'Raw Enterprise Billing Data'!A310</f>
        <v/>
      </c>
      <c r="B310" s="13">
        <f>'Raw Enterprise Billing Data'!B310</f>
        <v/>
      </c>
      <c r="C310" s="13">
        <f>'Raw Enterprise Billing Data'!C310</f>
        <v/>
      </c>
      <c r="D310" s="14">
        <f>'Raw Enterprise Billing Data'!D310</f>
        <v/>
      </c>
      <c r="E310" s="13">
        <f>'Raw Enterprise Billing Data'!E310</f>
        <v/>
      </c>
      <c r="F310" s="14">
        <f>'Raw Enterprise Billing Data'!F310</f>
        <v/>
      </c>
      <c r="G310" s="15">
        <f>'Raw Enterprise Billing Data'!H310</f>
        <v/>
      </c>
      <c r="H310" s="13">
        <f>IF(COUNTIF($A$5:$A$499, A310)&gt;1, "⚠️ DUPLICATE", "UNIQUE")</f>
        <v/>
      </c>
      <c r="I310" s="14">
        <f>IF(OR(ISBLANK(D310), D310=""), "Unassigned", D310)</f>
        <v/>
      </c>
      <c r="J310" s="13">
        <f>IF(G310&lt;0, "CREDIT / ADJUSTMENT", "STANDARD USAGE")</f>
        <v/>
      </c>
    </row>
    <row r="311">
      <c r="A311" s="13">
        <f>'Raw Enterprise Billing Data'!A311</f>
        <v/>
      </c>
      <c r="B311" s="13">
        <f>'Raw Enterprise Billing Data'!B311</f>
        <v/>
      </c>
      <c r="C311" s="13">
        <f>'Raw Enterprise Billing Data'!C311</f>
        <v/>
      </c>
      <c r="D311" s="14">
        <f>'Raw Enterprise Billing Data'!D311</f>
        <v/>
      </c>
      <c r="E311" s="13">
        <f>'Raw Enterprise Billing Data'!E311</f>
        <v/>
      </c>
      <c r="F311" s="14">
        <f>'Raw Enterprise Billing Data'!F311</f>
        <v/>
      </c>
      <c r="G311" s="15">
        <f>'Raw Enterprise Billing Data'!H311</f>
        <v/>
      </c>
      <c r="H311" s="13">
        <f>IF(COUNTIF($A$5:$A$499, A311)&gt;1, "⚠️ DUPLICATE", "UNIQUE")</f>
        <v/>
      </c>
      <c r="I311" s="14">
        <f>IF(OR(ISBLANK(D311), D311=""), "Unassigned", D311)</f>
        <v/>
      </c>
      <c r="J311" s="13">
        <f>IF(G311&lt;0, "CREDIT / ADJUSTMENT", "STANDARD USAGE")</f>
        <v/>
      </c>
    </row>
    <row r="312">
      <c r="A312" s="13">
        <f>'Raw Enterprise Billing Data'!A312</f>
        <v/>
      </c>
      <c r="B312" s="13">
        <f>'Raw Enterprise Billing Data'!B312</f>
        <v/>
      </c>
      <c r="C312" s="13">
        <f>'Raw Enterprise Billing Data'!C312</f>
        <v/>
      </c>
      <c r="D312" s="14">
        <f>'Raw Enterprise Billing Data'!D312</f>
        <v/>
      </c>
      <c r="E312" s="13">
        <f>'Raw Enterprise Billing Data'!E312</f>
        <v/>
      </c>
      <c r="F312" s="14">
        <f>'Raw Enterprise Billing Data'!F312</f>
        <v/>
      </c>
      <c r="G312" s="15">
        <f>'Raw Enterprise Billing Data'!H312</f>
        <v/>
      </c>
      <c r="H312" s="13">
        <f>IF(COUNTIF($A$5:$A$499, A312)&gt;1, "⚠️ DUPLICATE", "UNIQUE")</f>
        <v/>
      </c>
      <c r="I312" s="14">
        <f>IF(OR(ISBLANK(D312), D312=""), "Unassigned", D312)</f>
        <v/>
      </c>
      <c r="J312" s="13">
        <f>IF(G312&lt;0, "CREDIT / ADJUSTMENT", "STANDARD USAGE")</f>
        <v/>
      </c>
    </row>
    <row r="313">
      <c r="A313" s="13">
        <f>'Raw Enterprise Billing Data'!A313</f>
        <v/>
      </c>
      <c r="B313" s="13">
        <f>'Raw Enterprise Billing Data'!B313</f>
        <v/>
      </c>
      <c r="C313" s="13">
        <f>'Raw Enterprise Billing Data'!C313</f>
        <v/>
      </c>
      <c r="D313" s="14">
        <f>'Raw Enterprise Billing Data'!D313</f>
        <v/>
      </c>
      <c r="E313" s="13">
        <f>'Raw Enterprise Billing Data'!E313</f>
        <v/>
      </c>
      <c r="F313" s="14">
        <f>'Raw Enterprise Billing Data'!F313</f>
        <v/>
      </c>
      <c r="G313" s="15">
        <f>'Raw Enterprise Billing Data'!H313</f>
        <v/>
      </c>
      <c r="H313" s="13">
        <f>IF(COUNTIF($A$5:$A$499, A313)&gt;1, "⚠️ DUPLICATE", "UNIQUE")</f>
        <v/>
      </c>
      <c r="I313" s="14">
        <f>IF(OR(ISBLANK(D313), D313=""), "Unassigned", D313)</f>
        <v/>
      </c>
      <c r="J313" s="13">
        <f>IF(G313&lt;0, "CREDIT / ADJUSTMENT", "STANDARD USAGE")</f>
        <v/>
      </c>
    </row>
    <row r="314">
      <c r="A314" s="13">
        <f>'Raw Enterprise Billing Data'!A314</f>
        <v/>
      </c>
      <c r="B314" s="13">
        <f>'Raw Enterprise Billing Data'!B314</f>
        <v/>
      </c>
      <c r="C314" s="13">
        <f>'Raw Enterprise Billing Data'!C314</f>
        <v/>
      </c>
      <c r="D314" s="14">
        <f>'Raw Enterprise Billing Data'!D314</f>
        <v/>
      </c>
      <c r="E314" s="13">
        <f>'Raw Enterprise Billing Data'!E314</f>
        <v/>
      </c>
      <c r="F314" s="14">
        <f>'Raw Enterprise Billing Data'!F314</f>
        <v/>
      </c>
      <c r="G314" s="15">
        <f>'Raw Enterprise Billing Data'!H314</f>
        <v/>
      </c>
      <c r="H314" s="13">
        <f>IF(COUNTIF($A$5:$A$499, A314)&gt;1, "⚠️ DUPLICATE", "UNIQUE")</f>
        <v/>
      </c>
      <c r="I314" s="14">
        <f>IF(OR(ISBLANK(D314), D314=""), "Unassigned", D314)</f>
        <v/>
      </c>
      <c r="J314" s="13">
        <f>IF(G314&lt;0, "CREDIT / ADJUSTMENT", "STANDARD USAGE")</f>
        <v/>
      </c>
    </row>
    <row r="315">
      <c r="A315" s="13">
        <f>'Raw Enterprise Billing Data'!A315</f>
        <v/>
      </c>
      <c r="B315" s="13">
        <f>'Raw Enterprise Billing Data'!B315</f>
        <v/>
      </c>
      <c r="C315" s="13">
        <f>'Raw Enterprise Billing Data'!C315</f>
        <v/>
      </c>
      <c r="D315" s="14">
        <f>'Raw Enterprise Billing Data'!D315</f>
        <v/>
      </c>
      <c r="E315" s="13">
        <f>'Raw Enterprise Billing Data'!E315</f>
        <v/>
      </c>
      <c r="F315" s="14">
        <f>'Raw Enterprise Billing Data'!F315</f>
        <v/>
      </c>
      <c r="G315" s="15">
        <f>'Raw Enterprise Billing Data'!H315</f>
        <v/>
      </c>
      <c r="H315" s="13">
        <f>IF(COUNTIF($A$5:$A$499, A315)&gt;1, "⚠️ DUPLICATE", "UNIQUE")</f>
        <v/>
      </c>
      <c r="I315" s="14">
        <f>IF(OR(ISBLANK(D315), D315=""), "Unassigned", D315)</f>
        <v/>
      </c>
      <c r="J315" s="13">
        <f>IF(G315&lt;0, "CREDIT / ADJUSTMENT", "STANDARD USAGE")</f>
        <v/>
      </c>
    </row>
    <row r="316">
      <c r="A316" s="13">
        <f>'Raw Enterprise Billing Data'!A316</f>
        <v/>
      </c>
      <c r="B316" s="13">
        <f>'Raw Enterprise Billing Data'!B316</f>
        <v/>
      </c>
      <c r="C316" s="13">
        <f>'Raw Enterprise Billing Data'!C316</f>
        <v/>
      </c>
      <c r="D316" s="14">
        <f>'Raw Enterprise Billing Data'!D316</f>
        <v/>
      </c>
      <c r="E316" s="13">
        <f>'Raw Enterprise Billing Data'!E316</f>
        <v/>
      </c>
      <c r="F316" s="14">
        <f>'Raw Enterprise Billing Data'!F316</f>
        <v/>
      </c>
      <c r="G316" s="15">
        <f>'Raw Enterprise Billing Data'!H316</f>
        <v/>
      </c>
      <c r="H316" s="13">
        <f>IF(COUNTIF($A$5:$A$499, A316)&gt;1, "⚠️ DUPLICATE", "UNIQUE")</f>
        <v/>
      </c>
      <c r="I316" s="14">
        <f>IF(OR(ISBLANK(D316), D316=""), "Unassigned", D316)</f>
        <v/>
      </c>
      <c r="J316" s="13">
        <f>IF(G316&lt;0, "CREDIT / ADJUSTMENT", "STANDARD USAGE")</f>
        <v/>
      </c>
    </row>
    <row r="317">
      <c r="A317" s="13">
        <f>'Raw Enterprise Billing Data'!A317</f>
        <v/>
      </c>
      <c r="B317" s="13">
        <f>'Raw Enterprise Billing Data'!B317</f>
        <v/>
      </c>
      <c r="C317" s="13">
        <f>'Raw Enterprise Billing Data'!C317</f>
        <v/>
      </c>
      <c r="D317" s="14">
        <f>'Raw Enterprise Billing Data'!D317</f>
        <v/>
      </c>
      <c r="E317" s="13">
        <f>'Raw Enterprise Billing Data'!E317</f>
        <v/>
      </c>
      <c r="F317" s="14">
        <f>'Raw Enterprise Billing Data'!F317</f>
        <v/>
      </c>
      <c r="G317" s="15">
        <f>'Raw Enterprise Billing Data'!H317</f>
        <v/>
      </c>
      <c r="H317" s="13">
        <f>IF(COUNTIF($A$5:$A$499, A317)&gt;1, "⚠️ DUPLICATE", "UNIQUE")</f>
        <v/>
      </c>
      <c r="I317" s="14">
        <f>IF(OR(ISBLANK(D317), D317=""), "Unassigned", D317)</f>
        <v/>
      </c>
      <c r="J317" s="13">
        <f>IF(G317&lt;0, "CREDIT / ADJUSTMENT", "STANDARD USAGE")</f>
        <v/>
      </c>
    </row>
    <row r="318">
      <c r="A318" s="13">
        <f>'Raw Enterprise Billing Data'!A318</f>
        <v/>
      </c>
      <c r="B318" s="13">
        <f>'Raw Enterprise Billing Data'!B318</f>
        <v/>
      </c>
      <c r="C318" s="13">
        <f>'Raw Enterprise Billing Data'!C318</f>
        <v/>
      </c>
      <c r="D318" s="14">
        <f>'Raw Enterprise Billing Data'!D318</f>
        <v/>
      </c>
      <c r="E318" s="13">
        <f>'Raw Enterprise Billing Data'!E318</f>
        <v/>
      </c>
      <c r="F318" s="14">
        <f>'Raw Enterprise Billing Data'!F318</f>
        <v/>
      </c>
      <c r="G318" s="15">
        <f>'Raw Enterprise Billing Data'!H318</f>
        <v/>
      </c>
      <c r="H318" s="13">
        <f>IF(COUNTIF($A$5:$A$499, A318)&gt;1, "⚠️ DUPLICATE", "UNIQUE")</f>
        <v/>
      </c>
      <c r="I318" s="14">
        <f>IF(OR(ISBLANK(D318), D318=""), "Unassigned", D318)</f>
        <v/>
      </c>
      <c r="J318" s="13">
        <f>IF(G318&lt;0, "CREDIT / ADJUSTMENT", "STANDARD USAGE")</f>
        <v/>
      </c>
    </row>
    <row r="319">
      <c r="A319" s="13">
        <f>'Raw Enterprise Billing Data'!A319</f>
        <v/>
      </c>
      <c r="B319" s="13">
        <f>'Raw Enterprise Billing Data'!B319</f>
        <v/>
      </c>
      <c r="C319" s="13">
        <f>'Raw Enterprise Billing Data'!C319</f>
        <v/>
      </c>
      <c r="D319" s="14">
        <f>'Raw Enterprise Billing Data'!D319</f>
        <v/>
      </c>
      <c r="E319" s="13">
        <f>'Raw Enterprise Billing Data'!E319</f>
        <v/>
      </c>
      <c r="F319" s="14">
        <f>'Raw Enterprise Billing Data'!F319</f>
        <v/>
      </c>
      <c r="G319" s="15">
        <f>'Raw Enterprise Billing Data'!H319</f>
        <v/>
      </c>
      <c r="H319" s="13">
        <f>IF(COUNTIF($A$5:$A$499, A319)&gt;1, "⚠️ DUPLICATE", "UNIQUE")</f>
        <v/>
      </c>
      <c r="I319" s="14">
        <f>IF(OR(ISBLANK(D319), D319=""), "Unassigned", D319)</f>
        <v/>
      </c>
      <c r="J319" s="13">
        <f>IF(G319&lt;0, "CREDIT / ADJUSTMENT", "STANDARD USAGE")</f>
        <v/>
      </c>
    </row>
    <row r="320">
      <c r="A320" s="13">
        <f>'Raw Enterprise Billing Data'!A320</f>
        <v/>
      </c>
      <c r="B320" s="13">
        <f>'Raw Enterprise Billing Data'!B320</f>
        <v/>
      </c>
      <c r="C320" s="13">
        <f>'Raw Enterprise Billing Data'!C320</f>
        <v/>
      </c>
      <c r="D320" s="14">
        <f>'Raw Enterprise Billing Data'!D320</f>
        <v/>
      </c>
      <c r="E320" s="13">
        <f>'Raw Enterprise Billing Data'!E320</f>
        <v/>
      </c>
      <c r="F320" s="14">
        <f>'Raw Enterprise Billing Data'!F320</f>
        <v/>
      </c>
      <c r="G320" s="15">
        <f>'Raw Enterprise Billing Data'!H320</f>
        <v/>
      </c>
      <c r="H320" s="13">
        <f>IF(COUNTIF($A$5:$A$499, A320)&gt;1, "⚠️ DUPLICATE", "UNIQUE")</f>
        <v/>
      </c>
      <c r="I320" s="14">
        <f>IF(OR(ISBLANK(D320), D320=""), "Unassigned", D320)</f>
        <v/>
      </c>
      <c r="J320" s="13">
        <f>IF(G320&lt;0, "CREDIT / ADJUSTMENT", "STANDARD USAGE")</f>
        <v/>
      </c>
    </row>
    <row r="321">
      <c r="A321" s="13">
        <f>'Raw Enterprise Billing Data'!A321</f>
        <v/>
      </c>
      <c r="B321" s="13">
        <f>'Raw Enterprise Billing Data'!B321</f>
        <v/>
      </c>
      <c r="C321" s="13">
        <f>'Raw Enterprise Billing Data'!C321</f>
        <v/>
      </c>
      <c r="D321" s="14">
        <f>'Raw Enterprise Billing Data'!D321</f>
        <v/>
      </c>
      <c r="E321" s="13">
        <f>'Raw Enterprise Billing Data'!E321</f>
        <v/>
      </c>
      <c r="F321" s="14">
        <f>'Raw Enterprise Billing Data'!F321</f>
        <v/>
      </c>
      <c r="G321" s="15">
        <f>'Raw Enterprise Billing Data'!H321</f>
        <v/>
      </c>
      <c r="H321" s="13">
        <f>IF(COUNTIF($A$5:$A$499, A321)&gt;1, "⚠️ DUPLICATE", "UNIQUE")</f>
        <v/>
      </c>
      <c r="I321" s="14">
        <f>IF(OR(ISBLANK(D321), D321=""), "Unassigned", D321)</f>
        <v/>
      </c>
      <c r="J321" s="13">
        <f>IF(G321&lt;0, "CREDIT / ADJUSTMENT", "STANDARD USAGE")</f>
        <v/>
      </c>
    </row>
    <row r="322">
      <c r="A322" s="13">
        <f>'Raw Enterprise Billing Data'!A322</f>
        <v/>
      </c>
      <c r="B322" s="13">
        <f>'Raw Enterprise Billing Data'!B322</f>
        <v/>
      </c>
      <c r="C322" s="13">
        <f>'Raw Enterprise Billing Data'!C322</f>
        <v/>
      </c>
      <c r="D322" s="14">
        <f>'Raw Enterprise Billing Data'!D322</f>
        <v/>
      </c>
      <c r="E322" s="13">
        <f>'Raw Enterprise Billing Data'!E322</f>
        <v/>
      </c>
      <c r="F322" s="14">
        <f>'Raw Enterprise Billing Data'!F322</f>
        <v/>
      </c>
      <c r="G322" s="15">
        <f>'Raw Enterprise Billing Data'!H322</f>
        <v/>
      </c>
      <c r="H322" s="13">
        <f>IF(COUNTIF($A$5:$A$499, A322)&gt;1, "⚠️ DUPLICATE", "UNIQUE")</f>
        <v/>
      </c>
      <c r="I322" s="14">
        <f>IF(OR(ISBLANK(D322), D322=""), "Unassigned", D322)</f>
        <v/>
      </c>
      <c r="J322" s="13">
        <f>IF(G322&lt;0, "CREDIT / ADJUSTMENT", "STANDARD USAGE")</f>
        <v/>
      </c>
    </row>
    <row r="323">
      <c r="A323" s="13">
        <f>'Raw Enterprise Billing Data'!A323</f>
        <v/>
      </c>
      <c r="B323" s="13">
        <f>'Raw Enterprise Billing Data'!B323</f>
        <v/>
      </c>
      <c r="C323" s="13">
        <f>'Raw Enterprise Billing Data'!C323</f>
        <v/>
      </c>
      <c r="D323" s="14">
        <f>'Raw Enterprise Billing Data'!D323</f>
        <v/>
      </c>
      <c r="E323" s="13">
        <f>'Raw Enterprise Billing Data'!E323</f>
        <v/>
      </c>
      <c r="F323" s="14">
        <f>'Raw Enterprise Billing Data'!F323</f>
        <v/>
      </c>
      <c r="G323" s="15">
        <f>'Raw Enterprise Billing Data'!H323</f>
        <v/>
      </c>
      <c r="H323" s="13">
        <f>IF(COUNTIF($A$5:$A$499, A323)&gt;1, "⚠️ DUPLICATE", "UNIQUE")</f>
        <v/>
      </c>
      <c r="I323" s="14">
        <f>IF(OR(ISBLANK(D323), D323=""), "Unassigned", D323)</f>
        <v/>
      </c>
      <c r="J323" s="13">
        <f>IF(G323&lt;0, "CREDIT / ADJUSTMENT", "STANDARD USAGE")</f>
        <v/>
      </c>
    </row>
    <row r="324">
      <c r="A324" s="13">
        <f>'Raw Enterprise Billing Data'!A324</f>
        <v/>
      </c>
      <c r="B324" s="13">
        <f>'Raw Enterprise Billing Data'!B324</f>
        <v/>
      </c>
      <c r="C324" s="13">
        <f>'Raw Enterprise Billing Data'!C324</f>
        <v/>
      </c>
      <c r="D324" s="14">
        <f>'Raw Enterprise Billing Data'!D324</f>
        <v/>
      </c>
      <c r="E324" s="13">
        <f>'Raw Enterprise Billing Data'!E324</f>
        <v/>
      </c>
      <c r="F324" s="14">
        <f>'Raw Enterprise Billing Data'!F324</f>
        <v/>
      </c>
      <c r="G324" s="15">
        <f>'Raw Enterprise Billing Data'!H324</f>
        <v/>
      </c>
      <c r="H324" s="13">
        <f>IF(COUNTIF($A$5:$A$499, A324)&gt;1, "⚠️ DUPLICATE", "UNIQUE")</f>
        <v/>
      </c>
      <c r="I324" s="14">
        <f>IF(OR(ISBLANK(D324), D324=""), "Unassigned", D324)</f>
        <v/>
      </c>
      <c r="J324" s="13">
        <f>IF(G324&lt;0, "CREDIT / ADJUSTMENT", "STANDARD USAGE")</f>
        <v/>
      </c>
    </row>
    <row r="325">
      <c r="A325" s="13">
        <f>'Raw Enterprise Billing Data'!A325</f>
        <v/>
      </c>
      <c r="B325" s="13">
        <f>'Raw Enterprise Billing Data'!B325</f>
        <v/>
      </c>
      <c r="C325" s="13">
        <f>'Raw Enterprise Billing Data'!C325</f>
        <v/>
      </c>
      <c r="D325" s="14">
        <f>'Raw Enterprise Billing Data'!D325</f>
        <v/>
      </c>
      <c r="E325" s="13">
        <f>'Raw Enterprise Billing Data'!E325</f>
        <v/>
      </c>
      <c r="F325" s="14">
        <f>'Raw Enterprise Billing Data'!F325</f>
        <v/>
      </c>
      <c r="G325" s="15">
        <f>'Raw Enterprise Billing Data'!H325</f>
        <v/>
      </c>
      <c r="H325" s="13">
        <f>IF(COUNTIF($A$5:$A$499, A325)&gt;1, "⚠️ DUPLICATE", "UNIQUE")</f>
        <v/>
      </c>
      <c r="I325" s="14">
        <f>IF(OR(ISBLANK(D325), D325=""), "Unassigned", D325)</f>
        <v/>
      </c>
      <c r="J325" s="13">
        <f>IF(G325&lt;0, "CREDIT / ADJUSTMENT", "STANDARD USAGE")</f>
        <v/>
      </c>
    </row>
    <row r="326">
      <c r="A326" s="13">
        <f>'Raw Enterprise Billing Data'!A326</f>
        <v/>
      </c>
      <c r="B326" s="13">
        <f>'Raw Enterprise Billing Data'!B326</f>
        <v/>
      </c>
      <c r="C326" s="13">
        <f>'Raw Enterprise Billing Data'!C326</f>
        <v/>
      </c>
      <c r="D326" s="14">
        <f>'Raw Enterprise Billing Data'!D326</f>
        <v/>
      </c>
      <c r="E326" s="13">
        <f>'Raw Enterprise Billing Data'!E326</f>
        <v/>
      </c>
      <c r="F326" s="14">
        <f>'Raw Enterprise Billing Data'!F326</f>
        <v/>
      </c>
      <c r="G326" s="15">
        <f>'Raw Enterprise Billing Data'!H326</f>
        <v/>
      </c>
      <c r="H326" s="13">
        <f>IF(COUNTIF($A$5:$A$499, A326)&gt;1, "⚠️ DUPLICATE", "UNIQUE")</f>
        <v/>
      </c>
      <c r="I326" s="14">
        <f>IF(OR(ISBLANK(D326), D326=""), "Unassigned", D326)</f>
        <v/>
      </c>
      <c r="J326" s="13">
        <f>IF(G326&lt;0, "CREDIT / ADJUSTMENT", "STANDARD USAGE")</f>
        <v/>
      </c>
    </row>
    <row r="327">
      <c r="A327" s="13">
        <f>'Raw Enterprise Billing Data'!A327</f>
        <v/>
      </c>
      <c r="B327" s="13">
        <f>'Raw Enterprise Billing Data'!B327</f>
        <v/>
      </c>
      <c r="C327" s="13">
        <f>'Raw Enterprise Billing Data'!C327</f>
        <v/>
      </c>
      <c r="D327" s="14">
        <f>'Raw Enterprise Billing Data'!D327</f>
        <v/>
      </c>
      <c r="E327" s="13">
        <f>'Raw Enterprise Billing Data'!E327</f>
        <v/>
      </c>
      <c r="F327" s="14">
        <f>'Raw Enterprise Billing Data'!F327</f>
        <v/>
      </c>
      <c r="G327" s="15">
        <f>'Raw Enterprise Billing Data'!H327</f>
        <v/>
      </c>
      <c r="H327" s="13">
        <f>IF(COUNTIF($A$5:$A$499, A327)&gt;1, "⚠️ DUPLICATE", "UNIQUE")</f>
        <v/>
      </c>
      <c r="I327" s="14">
        <f>IF(OR(ISBLANK(D327), D327=""), "Unassigned", D327)</f>
        <v/>
      </c>
      <c r="J327" s="13">
        <f>IF(G327&lt;0, "CREDIT / ADJUSTMENT", "STANDARD USAGE")</f>
        <v/>
      </c>
    </row>
    <row r="328">
      <c r="A328" s="13">
        <f>'Raw Enterprise Billing Data'!A328</f>
        <v/>
      </c>
      <c r="B328" s="13">
        <f>'Raw Enterprise Billing Data'!B328</f>
        <v/>
      </c>
      <c r="C328" s="13">
        <f>'Raw Enterprise Billing Data'!C328</f>
        <v/>
      </c>
      <c r="D328" s="14">
        <f>'Raw Enterprise Billing Data'!D328</f>
        <v/>
      </c>
      <c r="E328" s="13">
        <f>'Raw Enterprise Billing Data'!E328</f>
        <v/>
      </c>
      <c r="F328" s="14">
        <f>'Raw Enterprise Billing Data'!F328</f>
        <v/>
      </c>
      <c r="G328" s="15">
        <f>'Raw Enterprise Billing Data'!H328</f>
        <v/>
      </c>
      <c r="H328" s="13">
        <f>IF(COUNTIF($A$5:$A$499, A328)&gt;1, "⚠️ DUPLICATE", "UNIQUE")</f>
        <v/>
      </c>
      <c r="I328" s="14">
        <f>IF(OR(ISBLANK(D328), D328=""), "Unassigned", D328)</f>
        <v/>
      </c>
      <c r="J328" s="13">
        <f>IF(G328&lt;0, "CREDIT / ADJUSTMENT", "STANDARD USAGE")</f>
        <v/>
      </c>
    </row>
    <row r="329">
      <c r="A329" s="13">
        <f>'Raw Enterprise Billing Data'!A329</f>
        <v/>
      </c>
      <c r="B329" s="13">
        <f>'Raw Enterprise Billing Data'!B329</f>
        <v/>
      </c>
      <c r="C329" s="13">
        <f>'Raw Enterprise Billing Data'!C329</f>
        <v/>
      </c>
      <c r="D329" s="14">
        <f>'Raw Enterprise Billing Data'!D329</f>
        <v/>
      </c>
      <c r="E329" s="13">
        <f>'Raw Enterprise Billing Data'!E329</f>
        <v/>
      </c>
      <c r="F329" s="14">
        <f>'Raw Enterprise Billing Data'!F329</f>
        <v/>
      </c>
      <c r="G329" s="15">
        <f>'Raw Enterprise Billing Data'!H329</f>
        <v/>
      </c>
      <c r="H329" s="13">
        <f>IF(COUNTIF($A$5:$A$499, A329)&gt;1, "⚠️ DUPLICATE", "UNIQUE")</f>
        <v/>
      </c>
      <c r="I329" s="14">
        <f>IF(OR(ISBLANK(D329), D329=""), "Unassigned", D329)</f>
        <v/>
      </c>
      <c r="J329" s="13">
        <f>IF(G329&lt;0, "CREDIT / ADJUSTMENT", "STANDARD USAGE")</f>
        <v/>
      </c>
    </row>
    <row r="330">
      <c r="A330" s="13">
        <f>'Raw Enterprise Billing Data'!A330</f>
        <v/>
      </c>
      <c r="B330" s="13">
        <f>'Raw Enterprise Billing Data'!B330</f>
        <v/>
      </c>
      <c r="C330" s="13">
        <f>'Raw Enterprise Billing Data'!C330</f>
        <v/>
      </c>
      <c r="D330" s="14">
        <f>'Raw Enterprise Billing Data'!D330</f>
        <v/>
      </c>
      <c r="E330" s="13">
        <f>'Raw Enterprise Billing Data'!E330</f>
        <v/>
      </c>
      <c r="F330" s="14">
        <f>'Raw Enterprise Billing Data'!F330</f>
        <v/>
      </c>
      <c r="G330" s="15">
        <f>'Raw Enterprise Billing Data'!H330</f>
        <v/>
      </c>
      <c r="H330" s="13">
        <f>IF(COUNTIF($A$5:$A$499, A330)&gt;1, "⚠️ DUPLICATE", "UNIQUE")</f>
        <v/>
      </c>
      <c r="I330" s="14">
        <f>IF(OR(ISBLANK(D330), D330=""), "Unassigned", D330)</f>
        <v/>
      </c>
      <c r="J330" s="13">
        <f>IF(G330&lt;0, "CREDIT / ADJUSTMENT", "STANDARD USAGE")</f>
        <v/>
      </c>
    </row>
    <row r="331">
      <c r="A331" s="13">
        <f>'Raw Enterprise Billing Data'!A331</f>
        <v/>
      </c>
      <c r="B331" s="13">
        <f>'Raw Enterprise Billing Data'!B331</f>
        <v/>
      </c>
      <c r="C331" s="13">
        <f>'Raw Enterprise Billing Data'!C331</f>
        <v/>
      </c>
      <c r="D331" s="14">
        <f>'Raw Enterprise Billing Data'!D331</f>
        <v/>
      </c>
      <c r="E331" s="13">
        <f>'Raw Enterprise Billing Data'!E331</f>
        <v/>
      </c>
      <c r="F331" s="14">
        <f>'Raw Enterprise Billing Data'!F331</f>
        <v/>
      </c>
      <c r="G331" s="15">
        <f>'Raw Enterprise Billing Data'!H331</f>
        <v/>
      </c>
      <c r="H331" s="13">
        <f>IF(COUNTIF($A$5:$A$499, A331)&gt;1, "⚠️ DUPLICATE", "UNIQUE")</f>
        <v/>
      </c>
      <c r="I331" s="14">
        <f>IF(OR(ISBLANK(D331), D331=""), "Unassigned", D331)</f>
        <v/>
      </c>
      <c r="J331" s="13">
        <f>IF(G331&lt;0, "CREDIT / ADJUSTMENT", "STANDARD USAGE")</f>
        <v/>
      </c>
    </row>
    <row r="332">
      <c r="A332" s="13">
        <f>'Raw Enterprise Billing Data'!A332</f>
        <v/>
      </c>
      <c r="B332" s="13">
        <f>'Raw Enterprise Billing Data'!B332</f>
        <v/>
      </c>
      <c r="C332" s="13">
        <f>'Raw Enterprise Billing Data'!C332</f>
        <v/>
      </c>
      <c r="D332" s="14">
        <f>'Raw Enterprise Billing Data'!D332</f>
        <v/>
      </c>
      <c r="E332" s="13">
        <f>'Raw Enterprise Billing Data'!E332</f>
        <v/>
      </c>
      <c r="F332" s="14">
        <f>'Raw Enterprise Billing Data'!F332</f>
        <v/>
      </c>
      <c r="G332" s="15">
        <f>'Raw Enterprise Billing Data'!H332</f>
        <v/>
      </c>
      <c r="H332" s="13">
        <f>IF(COUNTIF($A$5:$A$499, A332)&gt;1, "⚠️ DUPLICATE", "UNIQUE")</f>
        <v/>
      </c>
      <c r="I332" s="14">
        <f>IF(OR(ISBLANK(D332), D332=""), "Unassigned", D332)</f>
        <v/>
      </c>
      <c r="J332" s="13">
        <f>IF(G332&lt;0, "CREDIT / ADJUSTMENT", "STANDARD USAGE")</f>
        <v/>
      </c>
    </row>
    <row r="333">
      <c r="A333" s="13">
        <f>'Raw Enterprise Billing Data'!A333</f>
        <v/>
      </c>
      <c r="B333" s="13">
        <f>'Raw Enterprise Billing Data'!B333</f>
        <v/>
      </c>
      <c r="C333" s="13">
        <f>'Raw Enterprise Billing Data'!C333</f>
        <v/>
      </c>
      <c r="D333" s="14">
        <f>'Raw Enterprise Billing Data'!D333</f>
        <v/>
      </c>
      <c r="E333" s="13">
        <f>'Raw Enterprise Billing Data'!E333</f>
        <v/>
      </c>
      <c r="F333" s="14">
        <f>'Raw Enterprise Billing Data'!F333</f>
        <v/>
      </c>
      <c r="G333" s="15">
        <f>'Raw Enterprise Billing Data'!H333</f>
        <v/>
      </c>
      <c r="H333" s="13">
        <f>IF(COUNTIF($A$5:$A$499, A333)&gt;1, "⚠️ DUPLICATE", "UNIQUE")</f>
        <v/>
      </c>
      <c r="I333" s="14">
        <f>IF(OR(ISBLANK(D333), D333=""), "Unassigned", D333)</f>
        <v/>
      </c>
      <c r="J333" s="13">
        <f>IF(G333&lt;0, "CREDIT / ADJUSTMENT", "STANDARD USAGE")</f>
        <v/>
      </c>
    </row>
    <row r="334">
      <c r="A334" s="13">
        <f>'Raw Enterprise Billing Data'!A334</f>
        <v/>
      </c>
      <c r="B334" s="13">
        <f>'Raw Enterprise Billing Data'!B334</f>
        <v/>
      </c>
      <c r="C334" s="13">
        <f>'Raw Enterprise Billing Data'!C334</f>
        <v/>
      </c>
      <c r="D334" s="14">
        <f>'Raw Enterprise Billing Data'!D334</f>
        <v/>
      </c>
      <c r="E334" s="13">
        <f>'Raw Enterprise Billing Data'!E334</f>
        <v/>
      </c>
      <c r="F334" s="14">
        <f>'Raw Enterprise Billing Data'!F334</f>
        <v/>
      </c>
      <c r="G334" s="15">
        <f>'Raw Enterprise Billing Data'!H334</f>
        <v/>
      </c>
      <c r="H334" s="13">
        <f>IF(COUNTIF($A$5:$A$499, A334)&gt;1, "⚠️ DUPLICATE", "UNIQUE")</f>
        <v/>
      </c>
      <c r="I334" s="14">
        <f>IF(OR(ISBLANK(D334), D334=""), "Unassigned", D334)</f>
        <v/>
      </c>
      <c r="J334" s="13">
        <f>IF(G334&lt;0, "CREDIT / ADJUSTMENT", "STANDARD USAGE")</f>
        <v/>
      </c>
    </row>
    <row r="335">
      <c r="A335" s="13">
        <f>'Raw Enterprise Billing Data'!A335</f>
        <v/>
      </c>
      <c r="B335" s="13">
        <f>'Raw Enterprise Billing Data'!B335</f>
        <v/>
      </c>
      <c r="C335" s="13">
        <f>'Raw Enterprise Billing Data'!C335</f>
        <v/>
      </c>
      <c r="D335" s="14">
        <f>'Raw Enterprise Billing Data'!D335</f>
        <v/>
      </c>
      <c r="E335" s="13">
        <f>'Raw Enterprise Billing Data'!E335</f>
        <v/>
      </c>
      <c r="F335" s="14">
        <f>'Raw Enterprise Billing Data'!F335</f>
        <v/>
      </c>
      <c r="G335" s="15">
        <f>'Raw Enterprise Billing Data'!H335</f>
        <v/>
      </c>
      <c r="H335" s="13">
        <f>IF(COUNTIF($A$5:$A$499, A335)&gt;1, "⚠️ DUPLICATE", "UNIQUE")</f>
        <v/>
      </c>
      <c r="I335" s="14">
        <f>IF(OR(ISBLANK(D335), D335=""), "Unassigned", D335)</f>
        <v/>
      </c>
      <c r="J335" s="13">
        <f>IF(G335&lt;0, "CREDIT / ADJUSTMENT", "STANDARD USAGE")</f>
        <v/>
      </c>
    </row>
    <row r="336">
      <c r="A336" s="13">
        <f>'Raw Enterprise Billing Data'!A336</f>
        <v/>
      </c>
      <c r="B336" s="13">
        <f>'Raw Enterprise Billing Data'!B336</f>
        <v/>
      </c>
      <c r="C336" s="13">
        <f>'Raw Enterprise Billing Data'!C336</f>
        <v/>
      </c>
      <c r="D336" s="14">
        <f>'Raw Enterprise Billing Data'!D336</f>
        <v/>
      </c>
      <c r="E336" s="13">
        <f>'Raw Enterprise Billing Data'!E336</f>
        <v/>
      </c>
      <c r="F336" s="14">
        <f>'Raw Enterprise Billing Data'!F336</f>
        <v/>
      </c>
      <c r="G336" s="15">
        <f>'Raw Enterprise Billing Data'!H336</f>
        <v/>
      </c>
      <c r="H336" s="13">
        <f>IF(COUNTIF($A$5:$A$499, A336)&gt;1, "⚠️ DUPLICATE", "UNIQUE")</f>
        <v/>
      </c>
      <c r="I336" s="14">
        <f>IF(OR(ISBLANK(D336), D336=""), "Unassigned", D336)</f>
        <v/>
      </c>
      <c r="J336" s="13">
        <f>IF(G336&lt;0, "CREDIT / ADJUSTMENT", "STANDARD USAGE")</f>
        <v/>
      </c>
    </row>
    <row r="337">
      <c r="A337" s="13">
        <f>'Raw Enterprise Billing Data'!A337</f>
        <v/>
      </c>
      <c r="B337" s="13">
        <f>'Raw Enterprise Billing Data'!B337</f>
        <v/>
      </c>
      <c r="C337" s="13">
        <f>'Raw Enterprise Billing Data'!C337</f>
        <v/>
      </c>
      <c r="D337" s="14">
        <f>'Raw Enterprise Billing Data'!D337</f>
        <v/>
      </c>
      <c r="E337" s="13">
        <f>'Raw Enterprise Billing Data'!E337</f>
        <v/>
      </c>
      <c r="F337" s="14">
        <f>'Raw Enterprise Billing Data'!F337</f>
        <v/>
      </c>
      <c r="G337" s="15">
        <f>'Raw Enterprise Billing Data'!H337</f>
        <v/>
      </c>
      <c r="H337" s="13">
        <f>IF(COUNTIF($A$5:$A$499, A337)&gt;1, "⚠️ DUPLICATE", "UNIQUE")</f>
        <v/>
      </c>
      <c r="I337" s="14">
        <f>IF(OR(ISBLANK(D337), D337=""), "Unassigned", D337)</f>
        <v/>
      </c>
      <c r="J337" s="13">
        <f>IF(G337&lt;0, "CREDIT / ADJUSTMENT", "STANDARD USAGE")</f>
        <v/>
      </c>
    </row>
    <row r="338">
      <c r="A338" s="13">
        <f>'Raw Enterprise Billing Data'!A338</f>
        <v/>
      </c>
      <c r="B338" s="13">
        <f>'Raw Enterprise Billing Data'!B338</f>
        <v/>
      </c>
      <c r="C338" s="13">
        <f>'Raw Enterprise Billing Data'!C338</f>
        <v/>
      </c>
      <c r="D338" s="14">
        <f>'Raw Enterprise Billing Data'!D338</f>
        <v/>
      </c>
      <c r="E338" s="13">
        <f>'Raw Enterprise Billing Data'!E338</f>
        <v/>
      </c>
      <c r="F338" s="14">
        <f>'Raw Enterprise Billing Data'!F338</f>
        <v/>
      </c>
      <c r="G338" s="15">
        <f>'Raw Enterprise Billing Data'!H338</f>
        <v/>
      </c>
      <c r="H338" s="13">
        <f>IF(COUNTIF($A$5:$A$499, A338)&gt;1, "⚠️ DUPLICATE", "UNIQUE")</f>
        <v/>
      </c>
      <c r="I338" s="14">
        <f>IF(OR(ISBLANK(D338), D338=""), "Unassigned", D338)</f>
        <v/>
      </c>
      <c r="J338" s="13">
        <f>IF(G338&lt;0, "CREDIT / ADJUSTMENT", "STANDARD USAGE")</f>
        <v/>
      </c>
    </row>
    <row r="339">
      <c r="A339" s="13">
        <f>'Raw Enterprise Billing Data'!A339</f>
        <v/>
      </c>
      <c r="B339" s="13">
        <f>'Raw Enterprise Billing Data'!B339</f>
        <v/>
      </c>
      <c r="C339" s="13">
        <f>'Raw Enterprise Billing Data'!C339</f>
        <v/>
      </c>
      <c r="D339" s="14">
        <f>'Raw Enterprise Billing Data'!D339</f>
        <v/>
      </c>
      <c r="E339" s="13">
        <f>'Raw Enterprise Billing Data'!E339</f>
        <v/>
      </c>
      <c r="F339" s="14">
        <f>'Raw Enterprise Billing Data'!F339</f>
        <v/>
      </c>
      <c r="G339" s="15">
        <f>'Raw Enterprise Billing Data'!H339</f>
        <v/>
      </c>
      <c r="H339" s="13">
        <f>IF(COUNTIF($A$5:$A$499, A339)&gt;1, "⚠️ DUPLICATE", "UNIQUE")</f>
        <v/>
      </c>
      <c r="I339" s="14">
        <f>IF(OR(ISBLANK(D339), D339=""), "Unassigned", D339)</f>
        <v/>
      </c>
      <c r="J339" s="13">
        <f>IF(G339&lt;0, "CREDIT / ADJUSTMENT", "STANDARD USAGE")</f>
        <v/>
      </c>
    </row>
    <row r="340">
      <c r="A340" s="13">
        <f>'Raw Enterprise Billing Data'!A340</f>
        <v/>
      </c>
      <c r="B340" s="13">
        <f>'Raw Enterprise Billing Data'!B340</f>
        <v/>
      </c>
      <c r="C340" s="13">
        <f>'Raw Enterprise Billing Data'!C340</f>
        <v/>
      </c>
      <c r="D340" s="14">
        <f>'Raw Enterprise Billing Data'!D340</f>
        <v/>
      </c>
      <c r="E340" s="13">
        <f>'Raw Enterprise Billing Data'!E340</f>
        <v/>
      </c>
      <c r="F340" s="14">
        <f>'Raw Enterprise Billing Data'!F340</f>
        <v/>
      </c>
      <c r="G340" s="15">
        <f>'Raw Enterprise Billing Data'!H340</f>
        <v/>
      </c>
      <c r="H340" s="13">
        <f>IF(COUNTIF($A$5:$A$499, A340)&gt;1, "⚠️ DUPLICATE", "UNIQUE")</f>
        <v/>
      </c>
      <c r="I340" s="14">
        <f>IF(OR(ISBLANK(D340), D340=""), "Unassigned", D340)</f>
        <v/>
      </c>
      <c r="J340" s="13">
        <f>IF(G340&lt;0, "CREDIT / ADJUSTMENT", "STANDARD USAGE")</f>
        <v/>
      </c>
    </row>
    <row r="341">
      <c r="A341" s="13">
        <f>'Raw Enterprise Billing Data'!A341</f>
        <v/>
      </c>
      <c r="B341" s="13">
        <f>'Raw Enterprise Billing Data'!B341</f>
        <v/>
      </c>
      <c r="C341" s="13">
        <f>'Raw Enterprise Billing Data'!C341</f>
        <v/>
      </c>
      <c r="D341" s="14">
        <f>'Raw Enterprise Billing Data'!D341</f>
        <v/>
      </c>
      <c r="E341" s="13">
        <f>'Raw Enterprise Billing Data'!E341</f>
        <v/>
      </c>
      <c r="F341" s="14">
        <f>'Raw Enterprise Billing Data'!F341</f>
        <v/>
      </c>
      <c r="G341" s="15">
        <f>'Raw Enterprise Billing Data'!H341</f>
        <v/>
      </c>
      <c r="H341" s="13">
        <f>IF(COUNTIF($A$5:$A$499, A341)&gt;1, "⚠️ DUPLICATE", "UNIQUE")</f>
        <v/>
      </c>
      <c r="I341" s="14">
        <f>IF(OR(ISBLANK(D341), D341=""), "Unassigned", D341)</f>
        <v/>
      </c>
      <c r="J341" s="13">
        <f>IF(G341&lt;0, "CREDIT / ADJUSTMENT", "STANDARD USAGE")</f>
        <v/>
      </c>
    </row>
    <row r="342">
      <c r="A342" s="13">
        <f>'Raw Enterprise Billing Data'!A342</f>
        <v/>
      </c>
      <c r="B342" s="13">
        <f>'Raw Enterprise Billing Data'!B342</f>
        <v/>
      </c>
      <c r="C342" s="13">
        <f>'Raw Enterprise Billing Data'!C342</f>
        <v/>
      </c>
      <c r="D342" s="14">
        <f>'Raw Enterprise Billing Data'!D342</f>
        <v/>
      </c>
      <c r="E342" s="13">
        <f>'Raw Enterprise Billing Data'!E342</f>
        <v/>
      </c>
      <c r="F342" s="14">
        <f>'Raw Enterprise Billing Data'!F342</f>
        <v/>
      </c>
      <c r="G342" s="15">
        <f>'Raw Enterprise Billing Data'!H342</f>
        <v/>
      </c>
      <c r="H342" s="13">
        <f>IF(COUNTIF($A$5:$A$499, A342)&gt;1, "⚠️ DUPLICATE", "UNIQUE")</f>
        <v/>
      </c>
      <c r="I342" s="14">
        <f>IF(OR(ISBLANK(D342), D342=""), "Unassigned", D342)</f>
        <v/>
      </c>
      <c r="J342" s="13">
        <f>IF(G342&lt;0, "CREDIT / ADJUSTMENT", "STANDARD USAGE")</f>
        <v/>
      </c>
    </row>
    <row r="343">
      <c r="A343" s="13">
        <f>'Raw Enterprise Billing Data'!A343</f>
        <v/>
      </c>
      <c r="B343" s="13">
        <f>'Raw Enterprise Billing Data'!B343</f>
        <v/>
      </c>
      <c r="C343" s="13">
        <f>'Raw Enterprise Billing Data'!C343</f>
        <v/>
      </c>
      <c r="D343" s="14">
        <f>'Raw Enterprise Billing Data'!D343</f>
        <v/>
      </c>
      <c r="E343" s="13">
        <f>'Raw Enterprise Billing Data'!E343</f>
        <v/>
      </c>
      <c r="F343" s="14">
        <f>'Raw Enterprise Billing Data'!F343</f>
        <v/>
      </c>
      <c r="G343" s="15">
        <f>'Raw Enterprise Billing Data'!H343</f>
        <v/>
      </c>
      <c r="H343" s="13">
        <f>IF(COUNTIF($A$5:$A$499, A343)&gt;1, "⚠️ DUPLICATE", "UNIQUE")</f>
        <v/>
      </c>
      <c r="I343" s="14">
        <f>IF(OR(ISBLANK(D343), D343=""), "Unassigned", D343)</f>
        <v/>
      </c>
      <c r="J343" s="13">
        <f>IF(G343&lt;0, "CREDIT / ADJUSTMENT", "STANDARD USAGE")</f>
        <v/>
      </c>
    </row>
    <row r="344">
      <c r="A344" s="13">
        <f>'Raw Enterprise Billing Data'!A344</f>
        <v/>
      </c>
      <c r="B344" s="13">
        <f>'Raw Enterprise Billing Data'!B344</f>
        <v/>
      </c>
      <c r="C344" s="13">
        <f>'Raw Enterprise Billing Data'!C344</f>
        <v/>
      </c>
      <c r="D344" s="14">
        <f>'Raw Enterprise Billing Data'!D344</f>
        <v/>
      </c>
      <c r="E344" s="13">
        <f>'Raw Enterprise Billing Data'!E344</f>
        <v/>
      </c>
      <c r="F344" s="14">
        <f>'Raw Enterprise Billing Data'!F344</f>
        <v/>
      </c>
      <c r="G344" s="15">
        <f>'Raw Enterprise Billing Data'!H344</f>
        <v/>
      </c>
      <c r="H344" s="13">
        <f>IF(COUNTIF($A$5:$A$499, A344)&gt;1, "⚠️ DUPLICATE", "UNIQUE")</f>
        <v/>
      </c>
      <c r="I344" s="14">
        <f>IF(OR(ISBLANK(D344), D344=""), "Unassigned", D344)</f>
        <v/>
      </c>
      <c r="J344" s="13">
        <f>IF(G344&lt;0, "CREDIT / ADJUSTMENT", "STANDARD USAGE")</f>
        <v/>
      </c>
    </row>
    <row r="345">
      <c r="A345" s="13">
        <f>'Raw Enterprise Billing Data'!A345</f>
        <v/>
      </c>
      <c r="B345" s="13">
        <f>'Raw Enterprise Billing Data'!B345</f>
        <v/>
      </c>
      <c r="C345" s="13">
        <f>'Raw Enterprise Billing Data'!C345</f>
        <v/>
      </c>
      <c r="D345" s="14">
        <f>'Raw Enterprise Billing Data'!D345</f>
        <v/>
      </c>
      <c r="E345" s="13">
        <f>'Raw Enterprise Billing Data'!E345</f>
        <v/>
      </c>
      <c r="F345" s="14">
        <f>'Raw Enterprise Billing Data'!F345</f>
        <v/>
      </c>
      <c r="G345" s="15">
        <f>'Raw Enterprise Billing Data'!H345</f>
        <v/>
      </c>
      <c r="H345" s="13">
        <f>IF(COUNTIF($A$5:$A$499, A345)&gt;1, "⚠️ DUPLICATE", "UNIQUE")</f>
        <v/>
      </c>
      <c r="I345" s="14">
        <f>IF(OR(ISBLANK(D345), D345=""), "Unassigned", D345)</f>
        <v/>
      </c>
      <c r="J345" s="13">
        <f>IF(G345&lt;0, "CREDIT / ADJUSTMENT", "STANDARD USAGE")</f>
        <v/>
      </c>
    </row>
    <row r="346">
      <c r="A346" s="13">
        <f>'Raw Enterprise Billing Data'!A346</f>
        <v/>
      </c>
      <c r="B346" s="13">
        <f>'Raw Enterprise Billing Data'!B346</f>
        <v/>
      </c>
      <c r="C346" s="13">
        <f>'Raw Enterprise Billing Data'!C346</f>
        <v/>
      </c>
      <c r="D346" s="14">
        <f>'Raw Enterprise Billing Data'!D346</f>
        <v/>
      </c>
      <c r="E346" s="13">
        <f>'Raw Enterprise Billing Data'!E346</f>
        <v/>
      </c>
      <c r="F346" s="14">
        <f>'Raw Enterprise Billing Data'!F346</f>
        <v/>
      </c>
      <c r="G346" s="15">
        <f>'Raw Enterprise Billing Data'!H346</f>
        <v/>
      </c>
      <c r="H346" s="13">
        <f>IF(COUNTIF($A$5:$A$499, A346)&gt;1, "⚠️ DUPLICATE", "UNIQUE")</f>
        <v/>
      </c>
      <c r="I346" s="14">
        <f>IF(OR(ISBLANK(D346), D346=""), "Unassigned", D346)</f>
        <v/>
      </c>
      <c r="J346" s="13">
        <f>IF(G346&lt;0, "CREDIT / ADJUSTMENT", "STANDARD USAGE")</f>
        <v/>
      </c>
    </row>
    <row r="347">
      <c r="A347" s="13">
        <f>'Raw Enterprise Billing Data'!A347</f>
        <v/>
      </c>
      <c r="B347" s="13">
        <f>'Raw Enterprise Billing Data'!B347</f>
        <v/>
      </c>
      <c r="C347" s="13">
        <f>'Raw Enterprise Billing Data'!C347</f>
        <v/>
      </c>
      <c r="D347" s="14">
        <f>'Raw Enterprise Billing Data'!D347</f>
        <v/>
      </c>
      <c r="E347" s="13">
        <f>'Raw Enterprise Billing Data'!E347</f>
        <v/>
      </c>
      <c r="F347" s="14">
        <f>'Raw Enterprise Billing Data'!F347</f>
        <v/>
      </c>
      <c r="G347" s="15">
        <f>'Raw Enterprise Billing Data'!H347</f>
        <v/>
      </c>
      <c r="H347" s="13">
        <f>IF(COUNTIF($A$5:$A$499, A347)&gt;1, "⚠️ DUPLICATE", "UNIQUE")</f>
        <v/>
      </c>
      <c r="I347" s="14">
        <f>IF(OR(ISBLANK(D347), D347=""), "Unassigned", D347)</f>
        <v/>
      </c>
      <c r="J347" s="13">
        <f>IF(G347&lt;0, "CREDIT / ADJUSTMENT", "STANDARD USAGE")</f>
        <v/>
      </c>
    </row>
    <row r="348">
      <c r="A348" s="13">
        <f>'Raw Enterprise Billing Data'!A348</f>
        <v/>
      </c>
      <c r="B348" s="13">
        <f>'Raw Enterprise Billing Data'!B348</f>
        <v/>
      </c>
      <c r="C348" s="13">
        <f>'Raw Enterprise Billing Data'!C348</f>
        <v/>
      </c>
      <c r="D348" s="14">
        <f>'Raw Enterprise Billing Data'!D348</f>
        <v/>
      </c>
      <c r="E348" s="13">
        <f>'Raw Enterprise Billing Data'!E348</f>
        <v/>
      </c>
      <c r="F348" s="14">
        <f>'Raw Enterprise Billing Data'!F348</f>
        <v/>
      </c>
      <c r="G348" s="15">
        <f>'Raw Enterprise Billing Data'!H348</f>
        <v/>
      </c>
      <c r="H348" s="13">
        <f>IF(COUNTIF($A$5:$A$499, A348)&gt;1, "⚠️ DUPLICATE", "UNIQUE")</f>
        <v/>
      </c>
      <c r="I348" s="14">
        <f>IF(OR(ISBLANK(D348), D348=""), "Unassigned", D348)</f>
        <v/>
      </c>
      <c r="J348" s="13">
        <f>IF(G348&lt;0, "CREDIT / ADJUSTMENT", "STANDARD USAGE")</f>
        <v/>
      </c>
    </row>
    <row r="349">
      <c r="A349" s="13">
        <f>'Raw Enterprise Billing Data'!A349</f>
        <v/>
      </c>
      <c r="B349" s="13">
        <f>'Raw Enterprise Billing Data'!B349</f>
        <v/>
      </c>
      <c r="C349" s="13">
        <f>'Raw Enterprise Billing Data'!C349</f>
        <v/>
      </c>
      <c r="D349" s="14">
        <f>'Raw Enterprise Billing Data'!D349</f>
        <v/>
      </c>
      <c r="E349" s="13">
        <f>'Raw Enterprise Billing Data'!E349</f>
        <v/>
      </c>
      <c r="F349" s="14">
        <f>'Raw Enterprise Billing Data'!F349</f>
        <v/>
      </c>
      <c r="G349" s="15">
        <f>'Raw Enterprise Billing Data'!H349</f>
        <v/>
      </c>
      <c r="H349" s="13">
        <f>IF(COUNTIF($A$5:$A$499, A349)&gt;1, "⚠️ DUPLICATE", "UNIQUE")</f>
        <v/>
      </c>
      <c r="I349" s="14">
        <f>IF(OR(ISBLANK(D349), D349=""), "Unassigned", D349)</f>
        <v/>
      </c>
      <c r="J349" s="13">
        <f>IF(G349&lt;0, "CREDIT / ADJUSTMENT", "STANDARD USAGE")</f>
        <v/>
      </c>
    </row>
    <row r="350">
      <c r="A350" s="13">
        <f>'Raw Enterprise Billing Data'!A350</f>
        <v/>
      </c>
      <c r="B350" s="13">
        <f>'Raw Enterprise Billing Data'!B350</f>
        <v/>
      </c>
      <c r="C350" s="13">
        <f>'Raw Enterprise Billing Data'!C350</f>
        <v/>
      </c>
      <c r="D350" s="14">
        <f>'Raw Enterprise Billing Data'!D350</f>
        <v/>
      </c>
      <c r="E350" s="13">
        <f>'Raw Enterprise Billing Data'!E350</f>
        <v/>
      </c>
      <c r="F350" s="14">
        <f>'Raw Enterprise Billing Data'!F350</f>
        <v/>
      </c>
      <c r="G350" s="15">
        <f>'Raw Enterprise Billing Data'!H350</f>
        <v/>
      </c>
      <c r="H350" s="13">
        <f>IF(COUNTIF($A$5:$A$499, A350)&gt;1, "⚠️ DUPLICATE", "UNIQUE")</f>
        <v/>
      </c>
      <c r="I350" s="14">
        <f>IF(OR(ISBLANK(D350), D350=""), "Unassigned", D350)</f>
        <v/>
      </c>
      <c r="J350" s="13">
        <f>IF(G350&lt;0, "CREDIT / ADJUSTMENT", "STANDARD USAGE")</f>
        <v/>
      </c>
    </row>
    <row r="351">
      <c r="A351" s="13">
        <f>'Raw Enterprise Billing Data'!A351</f>
        <v/>
      </c>
      <c r="B351" s="13">
        <f>'Raw Enterprise Billing Data'!B351</f>
        <v/>
      </c>
      <c r="C351" s="13">
        <f>'Raw Enterprise Billing Data'!C351</f>
        <v/>
      </c>
      <c r="D351" s="14">
        <f>'Raw Enterprise Billing Data'!D351</f>
        <v/>
      </c>
      <c r="E351" s="13">
        <f>'Raw Enterprise Billing Data'!E351</f>
        <v/>
      </c>
      <c r="F351" s="14">
        <f>'Raw Enterprise Billing Data'!F351</f>
        <v/>
      </c>
      <c r="G351" s="15">
        <f>'Raw Enterprise Billing Data'!H351</f>
        <v/>
      </c>
      <c r="H351" s="13">
        <f>IF(COUNTIF($A$5:$A$499, A351)&gt;1, "⚠️ DUPLICATE", "UNIQUE")</f>
        <v/>
      </c>
      <c r="I351" s="14">
        <f>IF(OR(ISBLANK(D351), D351=""), "Unassigned", D351)</f>
        <v/>
      </c>
      <c r="J351" s="13">
        <f>IF(G351&lt;0, "CREDIT / ADJUSTMENT", "STANDARD USAGE")</f>
        <v/>
      </c>
    </row>
    <row r="352">
      <c r="A352" s="13">
        <f>'Raw Enterprise Billing Data'!A352</f>
        <v/>
      </c>
      <c r="B352" s="13">
        <f>'Raw Enterprise Billing Data'!B352</f>
        <v/>
      </c>
      <c r="C352" s="13">
        <f>'Raw Enterprise Billing Data'!C352</f>
        <v/>
      </c>
      <c r="D352" s="14">
        <f>'Raw Enterprise Billing Data'!D352</f>
        <v/>
      </c>
      <c r="E352" s="13">
        <f>'Raw Enterprise Billing Data'!E352</f>
        <v/>
      </c>
      <c r="F352" s="14">
        <f>'Raw Enterprise Billing Data'!F352</f>
        <v/>
      </c>
      <c r="G352" s="15">
        <f>'Raw Enterprise Billing Data'!H352</f>
        <v/>
      </c>
      <c r="H352" s="13">
        <f>IF(COUNTIF($A$5:$A$499, A352)&gt;1, "⚠️ DUPLICATE", "UNIQUE")</f>
        <v/>
      </c>
      <c r="I352" s="14">
        <f>IF(OR(ISBLANK(D352), D352=""), "Unassigned", D352)</f>
        <v/>
      </c>
      <c r="J352" s="13">
        <f>IF(G352&lt;0, "CREDIT / ADJUSTMENT", "STANDARD USAGE")</f>
        <v/>
      </c>
    </row>
    <row r="353">
      <c r="A353" s="13">
        <f>'Raw Enterprise Billing Data'!A353</f>
        <v/>
      </c>
      <c r="B353" s="13">
        <f>'Raw Enterprise Billing Data'!B353</f>
        <v/>
      </c>
      <c r="C353" s="13">
        <f>'Raw Enterprise Billing Data'!C353</f>
        <v/>
      </c>
      <c r="D353" s="14">
        <f>'Raw Enterprise Billing Data'!D353</f>
        <v/>
      </c>
      <c r="E353" s="13">
        <f>'Raw Enterprise Billing Data'!E353</f>
        <v/>
      </c>
      <c r="F353" s="14">
        <f>'Raw Enterprise Billing Data'!F353</f>
        <v/>
      </c>
      <c r="G353" s="15">
        <f>'Raw Enterprise Billing Data'!H353</f>
        <v/>
      </c>
      <c r="H353" s="13">
        <f>IF(COUNTIF($A$5:$A$499, A353)&gt;1, "⚠️ DUPLICATE", "UNIQUE")</f>
        <v/>
      </c>
      <c r="I353" s="14">
        <f>IF(OR(ISBLANK(D353), D353=""), "Unassigned", D353)</f>
        <v/>
      </c>
      <c r="J353" s="13">
        <f>IF(G353&lt;0, "CREDIT / ADJUSTMENT", "STANDARD USAGE")</f>
        <v/>
      </c>
    </row>
    <row r="354">
      <c r="A354" s="13">
        <f>'Raw Enterprise Billing Data'!A354</f>
        <v/>
      </c>
      <c r="B354" s="13">
        <f>'Raw Enterprise Billing Data'!B354</f>
        <v/>
      </c>
      <c r="C354" s="13">
        <f>'Raw Enterprise Billing Data'!C354</f>
        <v/>
      </c>
      <c r="D354" s="14">
        <f>'Raw Enterprise Billing Data'!D354</f>
        <v/>
      </c>
      <c r="E354" s="13">
        <f>'Raw Enterprise Billing Data'!E354</f>
        <v/>
      </c>
      <c r="F354" s="14">
        <f>'Raw Enterprise Billing Data'!F354</f>
        <v/>
      </c>
      <c r="G354" s="15">
        <f>'Raw Enterprise Billing Data'!H354</f>
        <v/>
      </c>
      <c r="H354" s="13">
        <f>IF(COUNTIF($A$5:$A$499, A354)&gt;1, "⚠️ DUPLICATE", "UNIQUE")</f>
        <v/>
      </c>
      <c r="I354" s="14">
        <f>IF(OR(ISBLANK(D354), D354=""), "Unassigned", D354)</f>
        <v/>
      </c>
      <c r="J354" s="13">
        <f>IF(G354&lt;0, "CREDIT / ADJUSTMENT", "STANDARD USAGE")</f>
        <v/>
      </c>
    </row>
    <row r="355">
      <c r="A355" s="13">
        <f>'Raw Enterprise Billing Data'!A355</f>
        <v/>
      </c>
      <c r="B355" s="13">
        <f>'Raw Enterprise Billing Data'!B355</f>
        <v/>
      </c>
      <c r="C355" s="13">
        <f>'Raw Enterprise Billing Data'!C355</f>
        <v/>
      </c>
      <c r="D355" s="14">
        <f>'Raw Enterprise Billing Data'!D355</f>
        <v/>
      </c>
      <c r="E355" s="13">
        <f>'Raw Enterprise Billing Data'!E355</f>
        <v/>
      </c>
      <c r="F355" s="14">
        <f>'Raw Enterprise Billing Data'!F355</f>
        <v/>
      </c>
      <c r="G355" s="15">
        <f>'Raw Enterprise Billing Data'!H355</f>
        <v/>
      </c>
      <c r="H355" s="13">
        <f>IF(COUNTIF($A$5:$A$499, A355)&gt;1, "⚠️ DUPLICATE", "UNIQUE")</f>
        <v/>
      </c>
      <c r="I355" s="14">
        <f>IF(OR(ISBLANK(D355), D355=""), "Unassigned", D355)</f>
        <v/>
      </c>
      <c r="J355" s="13">
        <f>IF(G355&lt;0, "CREDIT / ADJUSTMENT", "STANDARD USAGE")</f>
        <v/>
      </c>
    </row>
    <row r="356">
      <c r="A356" s="13">
        <f>'Raw Enterprise Billing Data'!A356</f>
        <v/>
      </c>
      <c r="B356" s="13">
        <f>'Raw Enterprise Billing Data'!B356</f>
        <v/>
      </c>
      <c r="C356" s="13">
        <f>'Raw Enterprise Billing Data'!C356</f>
        <v/>
      </c>
      <c r="D356" s="14">
        <f>'Raw Enterprise Billing Data'!D356</f>
        <v/>
      </c>
      <c r="E356" s="13">
        <f>'Raw Enterprise Billing Data'!E356</f>
        <v/>
      </c>
      <c r="F356" s="14">
        <f>'Raw Enterprise Billing Data'!F356</f>
        <v/>
      </c>
      <c r="G356" s="15">
        <f>'Raw Enterprise Billing Data'!H356</f>
        <v/>
      </c>
      <c r="H356" s="13">
        <f>IF(COUNTIF($A$5:$A$499, A356)&gt;1, "⚠️ DUPLICATE", "UNIQUE")</f>
        <v/>
      </c>
      <c r="I356" s="14">
        <f>IF(OR(ISBLANK(D356), D356=""), "Unassigned", D356)</f>
        <v/>
      </c>
      <c r="J356" s="13">
        <f>IF(G356&lt;0, "CREDIT / ADJUSTMENT", "STANDARD USAGE")</f>
        <v/>
      </c>
    </row>
    <row r="357">
      <c r="A357" s="13">
        <f>'Raw Enterprise Billing Data'!A357</f>
        <v/>
      </c>
      <c r="B357" s="13">
        <f>'Raw Enterprise Billing Data'!B357</f>
        <v/>
      </c>
      <c r="C357" s="13">
        <f>'Raw Enterprise Billing Data'!C357</f>
        <v/>
      </c>
      <c r="D357" s="14">
        <f>'Raw Enterprise Billing Data'!D357</f>
        <v/>
      </c>
      <c r="E357" s="13">
        <f>'Raw Enterprise Billing Data'!E357</f>
        <v/>
      </c>
      <c r="F357" s="14">
        <f>'Raw Enterprise Billing Data'!F357</f>
        <v/>
      </c>
      <c r="G357" s="15">
        <f>'Raw Enterprise Billing Data'!H357</f>
        <v/>
      </c>
      <c r="H357" s="13">
        <f>IF(COUNTIF($A$5:$A$499, A357)&gt;1, "⚠️ DUPLICATE", "UNIQUE")</f>
        <v/>
      </c>
      <c r="I357" s="14">
        <f>IF(OR(ISBLANK(D357), D357=""), "Unassigned", D357)</f>
        <v/>
      </c>
      <c r="J357" s="13">
        <f>IF(G357&lt;0, "CREDIT / ADJUSTMENT", "STANDARD USAGE")</f>
        <v/>
      </c>
    </row>
    <row r="358">
      <c r="A358" s="13">
        <f>'Raw Enterprise Billing Data'!A358</f>
        <v/>
      </c>
      <c r="B358" s="13">
        <f>'Raw Enterprise Billing Data'!B358</f>
        <v/>
      </c>
      <c r="C358" s="13">
        <f>'Raw Enterprise Billing Data'!C358</f>
        <v/>
      </c>
      <c r="D358" s="14">
        <f>'Raw Enterprise Billing Data'!D358</f>
        <v/>
      </c>
      <c r="E358" s="13">
        <f>'Raw Enterprise Billing Data'!E358</f>
        <v/>
      </c>
      <c r="F358" s="14">
        <f>'Raw Enterprise Billing Data'!F358</f>
        <v/>
      </c>
      <c r="G358" s="15">
        <f>'Raw Enterprise Billing Data'!H358</f>
        <v/>
      </c>
      <c r="H358" s="13">
        <f>IF(COUNTIF($A$5:$A$499, A358)&gt;1, "⚠️ DUPLICATE", "UNIQUE")</f>
        <v/>
      </c>
      <c r="I358" s="14">
        <f>IF(OR(ISBLANK(D358), D358=""), "Unassigned", D358)</f>
        <v/>
      </c>
      <c r="J358" s="13">
        <f>IF(G358&lt;0, "CREDIT / ADJUSTMENT", "STANDARD USAGE")</f>
        <v/>
      </c>
    </row>
    <row r="359">
      <c r="A359" s="13">
        <f>'Raw Enterprise Billing Data'!A359</f>
        <v/>
      </c>
      <c r="B359" s="13">
        <f>'Raw Enterprise Billing Data'!B359</f>
        <v/>
      </c>
      <c r="C359" s="13">
        <f>'Raw Enterprise Billing Data'!C359</f>
        <v/>
      </c>
      <c r="D359" s="14">
        <f>'Raw Enterprise Billing Data'!D359</f>
        <v/>
      </c>
      <c r="E359" s="13">
        <f>'Raw Enterprise Billing Data'!E359</f>
        <v/>
      </c>
      <c r="F359" s="14">
        <f>'Raw Enterprise Billing Data'!F359</f>
        <v/>
      </c>
      <c r="G359" s="15">
        <f>'Raw Enterprise Billing Data'!H359</f>
        <v/>
      </c>
      <c r="H359" s="13">
        <f>IF(COUNTIF($A$5:$A$499, A359)&gt;1, "⚠️ DUPLICATE", "UNIQUE")</f>
        <v/>
      </c>
      <c r="I359" s="14">
        <f>IF(OR(ISBLANK(D359), D359=""), "Unassigned", D359)</f>
        <v/>
      </c>
      <c r="J359" s="13">
        <f>IF(G359&lt;0, "CREDIT / ADJUSTMENT", "STANDARD USAGE")</f>
        <v/>
      </c>
    </row>
    <row r="360">
      <c r="A360" s="13">
        <f>'Raw Enterprise Billing Data'!A360</f>
        <v/>
      </c>
      <c r="B360" s="13">
        <f>'Raw Enterprise Billing Data'!B360</f>
        <v/>
      </c>
      <c r="C360" s="13">
        <f>'Raw Enterprise Billing Data'!C360</f>
        <v/>
      </c>
      <c r="D360" s="14">
        <f>'Raw Enterprise Billing Data'!D360</f>
        <v/>
      </c>
      <c r="E360" s="13">
        <f>'Raw Enterprise Billing Data'!E360</f>
        <v/>
      </c>
      <c r="F360" s="14">
        <f>'Raw Enterprise Billing Data'!F360</f>
        <v/>
      </c>
      <c r="G360" s="15">
        <f>'Raw Enterprise Billing Data'!H360</f>
        <v/>
      </c>
      <c r="H360" s="13">
        <f>IF(COUNTIF($A$5:$A$499, A360)&gt;1, "⚠️ DUPLICATE", "UNIQUE")</f>
        <v/>
      </c>
      <c r="I360" s="14">
        <f>IF(OR(ISBLANK(D360), D360=""), "Unassigned", D360)</f>
        <v/>
      </c>
      <c r="J360" s="13">
        <f>IF(G360&lt;0, "CREDIT / ADJUSTMENT", "STANDARD USAGE")</f>
        <v/>
      </c>
    </row>
    <row r="361">
      <c r="A361" s="13">
        <f>'Raw Enterprise Billing Data'!A361</f>
        <v/>
      </c>
      <c r="B361" s="13">
        <f>'Raw Enterprise Billing Data'!B361</f>
        <v/>
      </c>
      <c r="C361" s="13">
        <f>'Raw Enterprise Billing Data'!C361</f>
        <v/>
      </c>
      <c r="D361" s="14">
        <f>'Raw Enterprise Billing Data'!D361</f>
        <v/>
      </c>
      <c r="E361" s="13">
        <f>'Raw Enterprise Billing Data'!E361</f>
        <v/>
      </c>
      <c r="F361" s="14">
        <f>'Raw Enterprise Billing Data'!F361</f>
        <v/>
      </c>
      <c r="G361" s="15">
        <f>'Raw Enterprise Billing Data'!H361</f>
        <v/>
      </c>
      <c r="H361" s="13">
        <f>IF(COUNTIF($A$5:$A$499, A361)&gt;1, "⚠️ DUPLICATE", "UNIQUE")</f>
        <v/>
      </c>
      <c r="I361" s="14">
        <f>IF(OR(ISBLANK(D361), D361=""), "Unassigned", D361)</f>
        <v/>
      </c>
      <c r="J361" s="13">
        <f>IF(G361&lt;0, "CREDIT / ADJUSTMENT", "STANDARD USAGE")</f>
        <v/>
      </c>
    </row>
    <row r="362">
      <c r="A362" s="13">
        <f>'Raw Enterprise Billing Data'!A362</f>
        <v/>
      </c>
      <c r="B362" s="13">
        <f>'Raw Enterprise Billing Data'!B362</f>
        <v/>
      </c>
      <c r="C362" s="13">
        <f>'Raw Enterprise Billing Data'!C362</f>
        <v/>
      </c>
      <c r="D362" s="14">
        <f>'Raw Enterprise Billing Data'!D362</f>
        <v/>
      </c>
      <c r="E362" s="13">
        <f>'Raw Enterprise Billing Data'!E362</f>
        <v/>
      </c>
      <c r="F362" s="14">
        <f>'Raw Enterprise Billing Data'!F362</f>
        <v/>
      </c>
      <c r="G362" s="15">
        <f>'Raw Enterprise Billing Data'!H362</f>
        <v/>
      </c>
      <c r="H362" s="13">
        <f>IF(COUNTIF($A$5:$A$499, A362)&gt;1, "⚠️ DUPLICATE", "UNIQUE")</f>
        <v/>
      </c>
      <c r="I362" s="14">
        <f>IF(OR(ISBLANK(D362), D362=""), "Unassigned", D362)</f>
        <v/>
      </c>
      <c r="J362" s="13">
        <f>IF(G362&lt;0, "CREDIT / ADJUSTMENT", "STANDARD USAGE")</f>
        <v/>
      </c>
    </row>
    <row r="363">
      <c r="A363" s="13">
        <f>'Raw Enterprise Billing Data'!A363</f>
        <v/>
      </c>
      <c r="B363" s="13">
        <f>'Raw Enterprise Billing Data'!B363</f>
        <v/>
      </c>
      <c r="C363" s="13">
        <f>'Raw Enterprise Billing Data'!C363</f>
        <v/>
      </c>
      <c r="D363" s="14">
        <f>'Raw Enterprise Billing Data'!D363</f>
        <v/>
      </c>
      <c r="E363" s="13">
        <f>'Raw Enterprise Billing Data'!E363</f>
        <v/>
      </c>
      <c r="F363" s="14">
        <f>'Raw Enterprise Billing Data'!F363</f>
        <v/>
      </c>
      <c r="G363" s="15">
        <f>'Raw Enterprise Billing Data'!H363</f>
        <v/>
      </c>
      <c r="H363" s="13">
        <f>IF(COUNTIF($A$5:$A$499, A363)&gt;1, "⚠️ DUPLICATE", "UNIQUE")</f>
        <v/>
      </c>
      <c r="I363" s="14">
        <f>IF(OR(ISBLANK(D363), D363=""), "Unassigned", D363)</f>
        <v/>
      </c>
      <c r="J363" s="13">
        <f>IF(G363&lt;0, "CREDIT / ADJUSTMENT", "STANDARD USAGE")</f>
        <v/>
      </c>
    </row>
    <row r="364">
      <c r="A364" s="13">
        <f>'Raw Enterprise Billing Data'!A364</f>
        <v/>
      </c>
      <c r="B364" s="13">
        <f>'Raw Enterprise Billing Data'!B364</f>
        <v/>
      </c>
      <c r="C364" s="13">
        <f>'Raw Enterprise Billing Data'!C364</f>
        <v/>
      </c>
      <c r="D364" s="14">
        <f>'Raw Enterprise Billing Data'!D364</f>
        <v/>
      </c>
      <c r="E364" s="13">
        <f>'Raw Enterprise Billing Data'!E364</f>
        <v/>
      </c>
      <c r="F364" s="14">
        <f>'Raw Enterprise Billing Data'!F364</f>
        <v/>
      </c>
      <c r="G364" s="15">
        <f>'Raw Enterprise Billing Data'!H364</f>
        <v/>
      </c>
      <c r="H364" s="13">
        <f>IF(COUNTIF($A$5:$A$499, A364)&gt;1, "⚠️ DUPLICATE", "UNIQUE")</f>
        <v/>
      </c>
      <c r="I364" s="14">
        <f>IF(OR(ISBLANK(D364), D364=""), "Unassigned", D364)</f>
        <v/>
      </c>
      <c r="J364" s="13">
        <f>IF(G364&lt;0, "CREDIT / ADJUSTMENT", "STANDARD USAGE")</f>
        <v/>
      </c>
    </row>
    <row r="365">
      <c r="A365" s="13">
        <f>'Raw Enterprise Billing Data'!A365</f>
        <v/>
      </c>
      <c r="B365" s="13">
        <f>'Raw Enterprise Billing Data'!B365</f>
        <v/>
      </c>
      <c r="C365" s="13">
        <f>'Raw Enterprise Billing Data'!C365</f>
        <v/>
      </c>
      <c r="D365" s="14">
        <f>'Raw Enterprise Billing Data'!D365</f>
        <v/>
      </c>
      <c r="E365" s="13">
        <f>'Raw Enterprise Billing Data'!E365</f>
        <v/>
      </c>
      <c r="F365" s="14">
        <f>'Raw Enterprise Billing Data'!F365</f>
        <v/>
      </c>
      <c r="G365" s="15">
        <f>'Raw Enterprise Billing Data'!H365</f>
        <v/>
      </c>
      <c r="H365" s="13">
        <f>IF(COUNTIF($A$5:$A$499, A365)&gt;1, "⚠️ DUPLICATE", "UNIQUE")</f>
        <v/>
      </c>
      <c r="I365" s="14">
        <f>IF(OR(ISBLANK(D365), D365=""), "Unassigned", D365)</f>
        <v/>
      </c>
      <c r="J365" s="13">
        <f>IF(G365&lt;0, "CREDIT / ADJUSTMENT", "STANDARD USAGE")</f>
        <v/>
      </c>
    </row>
    <row r="366">
      <c r="A366" s="13">
        <f>'Raw Enterprise Billing Data'!A366</f>
        <v/>
      </c>
      <c r="B366" s="13">
        <f>'Raw Enterprise Billing Data'!B366</f>
        <v/>
      </c>
      <c r="C366" s="13">
        <f>'Raw Enterprise Billing Data'!C366</f>
        <v/>
      </c>
      <c r="D366" s="14">
        <f>'Raw Enterprise Billing Data'!D366</f>
        <v/>
      </c>
      <c r="E366" s="13">
        <f>'Raw Enterprise Billing Data'!E366</f>
        <v/>
      </c>
      <c r="F366" s="14">
        <f>'Raw Enterprise Billing Data'!F366</f>
        <v/>
      </c>
      <c r="G366" s="15">
        <f>'Raw Enterprise Billing Data'!H366</f>
        <v/>
      </c>
      <c r="H366" s="13">
        <f>IF(COUNTIF($A$5:$A$499, A366)&gt;1, "⚠️ DUPLICATE", "UNIQUE")</f>
        <v/>
      </c>
      <c r="I366" s="14">
        <f>IF(OR(ISBLANK(D366), D366=""), "Unassigned", D366)</f>
        <v/>
      </c>
      <c r="J366" s="13">
        <f>IF(G366&lt;0, "CREDIT / ADJUSTMENT", "STANDARD USAGE")</f>
        <v/>
      </c>
    </row>
    <row r="367">
      <c r="A367" s="13">
        <f>'Raw Enterprise Billing Data'!A367</f>
        <v/>
      </c>
      <c r="B367" s="13">
        <f>'Raw Enterprise Billing Data'!B367</f>
        <v/>
      </c>
      <c r="C367" s="13">
        <f>'Raw Enterprise Billing Data'!C367</f>
        <v/>
      </c>
      <c r="D367" s="14">
        <f>'Raw Enterprise Billing Data'!D367</f>
        <v/>
      </c>
      <c r="E367" s="13">
        <f>'Raw Enterprise Billing Data'!E367</f>
        <v/>
      </c>
      <c r="F367" s="14">
        <f>'Raw Enterprise Billing Data'!F367</f>
        <v/>
      </c>
      <c r="G367" s="15">
        <f>'Raw Enterprise Billing Data'!H367</f>
        <v/>
      </c>
      <c r="H367" s="13">
        <f>IF(COUNTIF($A$5:$A$499, A367)&gt;1, "⚠️ DUPLICATE", "UNIQUE")</f>
        <v/>
      </c>
      <c r="I367" s="14">
        <f>IF(OR(ISBLANK(D367), D367=""), "Unassigned", D367)</f>
        <v/>
      </c>
      <c r="J367" s="13">
        <f>IF(G367&lt;0, "CREDIT / ADJUSTMENT", "STANDARD USAGE")</f>
        <v/>
      </c>
    </row>
    <row r="368">
      <c r="A368" s="13">
        <f>'Raw Enterprise Billing Data'!A368</f>
        <v/>
      </c>
      <c r="B368" s="13">
        <f>'Raw Enterprise Billing Data'!B368</f>
        <v/>
      </c>
      <c r="C368" s="13">
        <f>'Raw Enterprise Billing Data'!C368</f>
        <v/>
      </c>
      <c r="D368" s="14">
        <f>'Raw Enterprise Billing Data'!D368</f>
        <v/>
      </c>
      <c r="E368" s="13">
        <f>'Raw Enterprise Billing Data'!E368</f>
        <v/>
      </c>
      <c r="F368" s="14">
        <f>'Raw Enterprise Billing Data'!F368</f>
        <v/>
      </c>
      <c r="G368" s="15">
        <f>'Raw Enterprise Billing Data'!H368</f>
        <v/>
      </c>
      <c r="H368" s="13">
        <f>IF(COUNTIF($A$5:$A$499, A368)&gt;1, "⚠️ DUPLICATE", "UNIQUE")</f>
        <v/>
      </c>
      <c r="I368" s="14">
        <f>IF(OR(ISBLANK(D368), D368=""), "Unassigned", D368)</f>
        <v/>
      </c>
      <c r="J368" s="13">
        <f>IF(G368&lt;0, "CREDIT / ADJUSTMENT", "STANDARD USAGE")</f>
        <v/>
      </c>
    </row>
    <row r="369">
      <c r="A369" s="13">
        <f>'Raw Enterprise Billing Data'!A369</f>
        <v/>
      </c>
      <c r="B369" s="13">
        <f>'Raw Enterprise Billing Data'!B369</f>
        <v/>
      </c>
      <c r="C369" s="13">
        <f>'Raw Enterprise Billing Data'!C369</f>
        <v/>
      </c>
      <c r="D369" s="14">
        <f>'Raw Enterprise Billing Data'!D369</f>
        <v/>
      </c>
      <c r="E369" s="13">
        <f>'Raw Enterprise Billing Data'!E369</f>
        <v/>
      </c>
      <c r="F369" s="14">
        <f>'Raw Enterprise Billing Data'!F369</f>
        <v/>
      </c>
      <c r="G369" s="15">
        <f>'Raw Enterprise Billing Data'!H369</f>
        <v/>
      </c>
      <c r="H369" s="13">
        <f>IF(COUNTIF($A$5:$A$499, A369)&gt;1, "⚠️ DUPLICATE", "UNIQUE")</f>
        <v/>
      </c>
      <c r="I369" s="14">
        <f>IF(OR(ISBLANK(D369), D369=""), "Unassigned", D369)</f>
        <v/>
      </c>
      <c r="J369" s="13">
        <f>IF(G369&lt;0, "CREDIT / ADJUSTMENT", "STANDARD USAGE")</f>
        <v/>
      </c>
    </row>
    <row r="370">
      <c r="A370" s="13">
        <f>'Raw Enterprise Billing Data'!A370</f>
        <v/>
      </c>
      <c r="B370" s="13">
        <f>'Raw Enterprise Billing Data'!B370</f>
        <v/>
      </c>
      <c r="C370" s="13">
        <f>'Raw Enterprise Billing Data'!C370</f>
        <v/>
      </c>
      <c r="D370" s="14">
        <f>'Raw Enterprise Billing Data'!D370</f>
        <v/>
      </c>
      <c r="E370" s="13">
        <f>'Raw Enterprise Billing Data'!E370</f>
        <v/>
      </c>
      <c r="F370" s="14">
        <f>'Raw Enterprise Billing Data'!F370</f>
        <v/>
      </c>
      <c r="G370" s="15">
        <f>'Raw Enterprise Billing Data'!H370</f>
        <v/>
      </c>
      <c r="H370" s="13">
        <f>IF(COUNTIF($A$5:$A$499, A370)&gt;1, "⚠️ DUPLICATE", "UNIQUE")</f>
        <v/>
      </c>
      <c r="I370" s="14">
        <f>IF(OR(ISBLANK(D370), D370=""), "Unassigned", D370)</f>
        <v/>
      </c>
      <c r="J370" s="13">
        <f>IF(G370&lt;0, "CREDIT / ADJUSTMENT", "STANDARD USAGE")</f>
        <v/>
      </c>
    </row>
    <row r="371">
      <c r="A371" s="13">
        <f>'Raw Enterprise Billing Data'!A371</f>
        <v/>
      </c>
      <c r="B371" s="13">
        <f>'Raw Enterprise Billing Data'!B371</f>
        <v/>
      </c>
      <c r="C371" s="13">
        <f>'Raw Enterprise Billing Data'!C371</f>
        <v/>
      </c>
      <c r="D371" s="14">
        <f>'Raw Enterprise Billing Data'!D371</f>
        <v/>
      </c>
      <c r="E371" s="13">
        <f>'Raw Enterprise Billing Data'!E371</f>
        <v/>
      </c>
      <c r="F371" s="14">
        <f>'Raw Enterprise Billing Data'!F371</f>
        <v/>
      </c>
      <c r="G371" s="15">
        <f>'Raw Enterprise Billing Data'!H371</f>
        <v/>
      </c>
      <c r="H371" s="13">
        <f>IF(COUNTIF($A$5:$A$499, A371)&gt;1, "⚠️ DUPLICATE", "UNIQUE")</f>
        <v/>
      </c>
      <c r="I371" s="14">
        <f>IF(OR(ISBLANK(D371), D371=""), "Unassigned", D371)</f>
        <v/>
      </c>
      <c r="J371" s="13">
        <f>IF(G371&lt;0, "CREDIT / ADJUSTMENT", "STANDARD USAGE")</f>
        <v/>
      </c>
    </row>
    <row r="372">
      <c r="A372" s="13">
        <f>'Raw Enterprise Billing Data'!A372</f>
        <v/>
      </c>
      <c r="B372" s="13">
        <f>'Raw Enterprise Billing Data'!B372</f>
        <v/>
      </c>
      <c r="C372" s="13">
        <f>'Raw Enterprise Billing Data'!C372</f>
        <v/>
      </c>
      <c r="D372" s="14">
        <f>'Raw Enterprise Billing Data'!D372</f>
        <v/>
      </c>
      <c r="E372" s="13">
        <f>'Raw Enterprise Billing Data'!E372</f>
        <v/>
      </c>
      <c r="F372" s="14">
        <f>'Raw Enterprise Billing Data'!F372</f>
        <v/>
      </c>
      <c r="G372" s="15">
        <f>'Raw Enterprise Billing Data'!H372</f>
        <v/>
      </c>
      <c r="H372" s="13">
        <f>IF(COUNTIF($A$5:$A$499, A372)&gt;1, "⚠️ DUPLICATE", "UNIQUE")</f>
        <v/>
      </c>
      <c r="I372" s="14">
        <f>IF(OR(ISBLANK(D372), D372=""), "Unassigned", D372)</f>
        <v/>
      </c>
      <c r="J372" s="13">
        <f>IF(G372&lt;0, "CREDIT / ADJUSTMENT", "STANDARD USAGE")</f>
        <v/>
      </c>
    </row>
    <row r="373">
      <c r="A373" s="13">
        <f>'Raw Enterprise Billing Data'!A373</f>
        <v/>
      </c>
      <c r="B373" s="13">
        <f>'Raw Enterprise Billing Data'!B373</f>
        <v/>
      </c>
      <c r="C373" s="13">
        <f>'Raw Enterprise Billing Data'!C373</f>
        <v/>
      </c>
      <c r="D373" s="14">
        <f>'Raw Enterprise Billing Data'!D373</f>
        <v/>
      </c>
      <c r="E373" s="13">
        <f>'Raw Enterprise Billing Data'!E373</f>
        <v/>
      </c>
      <c r="F373" s="14">
        <f>'Raw Enterprise Billing Data'!F373</f>
        <v/>
      </c>
      <c r="G373" s="15">
        <f>'Raw Enterprise Billing Data'!H373</f>
        <v/>
      </c>
      <c r="H373" s="13">
        <f>IF(COUNTIF($A$5:$A$499, A373)&gt;1, "⚠️ DUPLICATE", "UNIQUE")</f>
        <v/>
      </c>
      <c r="I373" s="14">
        <f>IF(OR(ISBLANK(D373), D373=""), "Unassigned", D373)</f>
        <v/>
      </c>
      <c r="J373" s="13">
        <f>IF(G373&lt;0, "CREDIT / ADJUSTMENT", "STANDARD USAGE")</f>
        <v/>
      </c>
    </row>
    <row r="374">
      <c r="A374" s="13">
        <f>'Raw Enterprise Billing Data'!A374</f>
        <v/>
      </c>
      <c r="B374" s="13">
        <f>'Raw Enterprise Billing Data'!B374</f>
        <v/>
      </c>
      <c r="C374" s="13">
        <f>'Raw Enterprise Billing Data'!C374</f>
        <v/>
      </c>
      <c r="D374" s="14">
        <f>'Raw Enterprise Billing Data'!D374</f>
        <v/>
      </c>
      <c r="E374" s="13">
        <f>'Raw Enterprise Billing Data'!E374</f>
        <v/>
      </c>
      <c r="F374" s="14">
        <f>'Raw Enterprise Billing Data'!F374</f>
        <v/>
      </c>
      <c r="G374" s="15">
        <f>'Raw Enterprise Billing Data'!H374</f>
        <v/>
      </c>
      <c r="H374" s="13">
        <f>IF(COUNTIF($A$5:$A$499, A374)&gt;1, "⚠️ DUPLICATE", "UNIQUE")</f>
        <v/>
      </c>
      <c r="I374" s="14">
        <f>IF(OR(ISBLANK(D374), D374=""), "Unassigned", D374)</f>
        <v/>
      </c>
      <c r="J374" s="13">
        <f>IF(G374&lt;0, "CREDIT / ADJUSTMENT", "STANDARD USAGE")</f>
        <v/>
      </c>
    </row>
    <row r="375">
      <c r="A375" s="13">
        <f>'Raw Enterprise Billing Data'!A375</f>
        <v/>
      </c>
      <c r="B375" s="13">
        <f>'Raw Enterprise Billing Data'!B375</f>
        <v/>
      </c>
      <c r="C375" s="13">
        <f>'Raw Enterprise Billing Data'!C375</f>
        <v/>
      </c>
      <c r="D375" s="14">
        <f>'Raw Enterprise Billing Data'!D375</f>
        <v/>
      </c>
      <c r="E375" s="13">
        <f>'Raw Enterprise Billing Data'!E375</f>
        <v/>
      </c>
      <c r="F375" s="14">
        <f>'Raw Enterprise Billing Data'!F375</f>
        <v/>
      </c>
      <c r="G375" s="15">
        <f>'Raw Enterprise Billing Data'!H375</f>
        <v/>
      </c>
      <c r="H375" s="13">
        <f>IF(COUNTIF($A$5:$A$499, A375)&gt;1, "⚠️ DUPLICATE", "UNIQUE")</f>
        <v/>
      </c>
      <c r="I375" s="14">
        <f>IF(OR(ISBLANK(D375), D375=""), "Unassigned", D375)</f>
        <v/>
      </c>
      <c r="J375" s="13">
        <f>IF(G375&lt;0, "CREDIT / ADJUSTMENT", "STANDARD USAGE")</f>
        <v/>
      </c>
    </row>
    <row r="376">
      <c r="A376" s="13">
        <f>'Raw Enterprise Billing Data'!A376</f>
        <v/>
      </c>
      <c r="B376" s="13">
        <f>'Raw Enterprise Billing Data'!B376</f>
        <v/>
      </c>
      <c r="C376" s="13">
        <f>'Raw Enterprise Billing Data'!C376</f>
        <v/>
      </c>
      <c r="D376" s="14">
        <f>'Raw Enterprise Billing Data'!D376</f>
        <v/>
      </c>
      <c r="E376" s="13">
        <f>'Raw Enterprise Billing Data'!E376</f>
        <v/>
      </c>
      <c r="F376" s="14">
        <f>'Raw Enterprise Billing Data'!F376</f>
        <v/>
      </c>
      <c r="G376" s="15">
        <f>'Raw Enterprise Billing Data'!H376</f>
        <v/>
      </c>
      <c r="H376" s="13">
        <f>IF(COUNTIF($A$5:$A$499, A376)&gt;1, "⚠️ DUPLICATE", "UNIQUE")</f>
        <v/>
      </c>
      <c r="I376" s="14">
        <f>IF(OR(ISBLANK(D376), D376=""), "Unassigned", D376)</f>
        <v/>
      </c>
      <c r="J376" s="13">
        <f>IF(G376&lt;0, "CREDIT / ADJUSTMENT", "STANDARD USAGE")</f>
        <v/>
      </c>
    </row>
    <row r="377">
      <c r="A377" s="13">
        <f>'Raw Enterprise Billing Data'!A377</f>
        <v/>
      </c>
      <c r="B377" s="13">
        <f>'Raw Enterprise Billing Data'!B377</f>
        <v/>
      </c>
      <c r="C377" s="13">
        <f>'Raw Enterprise Billing Data'!C377</f>
        <v/>
      </c>
      <c r="D377" s="14">
        <f>'Raw Enterprise Billing Data'!D377</f>
        <v/>
      </c>
      <c r="E377" s="13">
        <f>'Raw Enterprise Billing Data'!E377</f>
        <v/>
      </c>
      <c r="F377" s="14">
        <f>'Raw Enterprise Billing Data'!F377</f>
        <v/>
      </c>
      <c r="G377" s="15">
        <f>'Raw Enterprise Billing Data'!H377</f>
        <v/>
      </c>
      <c r="H377" s="13">
        <f>IF(COUNTIF($A$5:$A$499, A377)&gt;1, "⚠️ DUPLICATE", "UNIQUE")</f>
        <v/>
      </c>
      <c r="I377" s="14">
        <f>IF(OR(ISBLANK(D377), D377=""), "Unassigned", D377)</f>
        <v/>
      </c>
      <c r="J377" s="13">
        <f>IF(G377&lt;0, "CREDIT / ADJUSTMENT", "STANDARD USAGE")</f>
        <v/>
      </c>
    </row>
    <row r="378">
      <c r="A378" s="13">
        <f>'Raw Enterprise Billing Data'!A378</f>
        <v/>
      </c>
      <c r="B378" s="13">
        <f>'Raw Enterprise Billing Data'!B378</f>
        <v/>
      </c>
      <c r="C378" s="13">
        <f>'Raw Enterprise Billing Data'!C378</f>
        <v/>
      </c>
      <c r="D378" s="14">
        <f>'Raw Enterprise Billing Data'!D378</f>
        <v/>
      </c>
      <c r="E378" s="13">
        <f>'Raw Enterprise Billing Data'!E378</f>
        <v/>
      </c>
      <c r="F378" s="14">
        <f>'Raw Enterprise Billing Data'!F378</f>
        <v/>
      </c>
      <c r="G378" s="15">
        <f>'Raw Enterprise Billing Data'!H378</f>
        <v/>
      </c>
      <c r="H378" s="13">
        <f>IF(COUNTIF($A$5:$A$499, A378)&gt;1, "⚠️ DUPLICATE", "UNIQUE")</f>
        <v/>
      </c>
      <c r="I378" s="14">
        <f>IF(OR(ISBLANK(D378), D378=""), "Unassigned", D378)</f>
        <v/>
      </c>
      <c r="J378" s="13">
        <f>IF(G378&lt;0, "CREDIT / ADJUSTMENT", "STANDARD USAGE")</f>
        <v/>
      </c>
    </row>
    <row r="379">
      <c r="A379" s="13">
        <f>'Raw Enterprise Billing Data'!A379</f>
        <v/>
      </c>
      <c r="B379" s="13">
        <f>'Raw Enterprise Billing Data'!B379</f>
        <v/>
      </c>
      <c r="C379" s="13">
        <f>'Raw Enterprise Billing Data'!C379</f>
        <v/>
      </c>
      <c r="D379" s="14">
        <f>'Raw Enterprise Billing Data'!D379</f>
        <v/>
      </c>
      <c r="E379" s="13">
        <f>'Raw Enterprise Billing Data'!E379</f>
        <v/>
      </c>
      <c r="F379" s="14">
        <f>'Raw Enterprise Billing Data'!F379</f>
        <v/>
      </c>
      <c r="G379" s="15">
        <f>'Raw Enterprise Billing Data'!H379</f>
        <v/>
      </c>
      <c r="H379" s="13">
        <f>IF(COUNTIF($A$5:$A$499, A379)&gt;1, "⚠️ DUPLICATE", "UNIQUE")</f>
        <v/>
      </c>
      <c r="I379" s="14">
        <f>IF(OR(ISBLANK(D379), D379=""), "Unassigned", D379)</f>
        <v/>
      </c>
      <c r="J379" s="13">
        <f>IF(G379&lt;0, "CREDIT / ADJUSTMENT", "STANDARD USAGE")</f>
        <v/>
      </c>
    </row>
    <row r="380">
      <c r="A380" s="13">
        <f>'Raw Enterprise Billing Data'!A380</f>
        <v/>
      </c>
      <c r="B380" s="13">
        <f>'Raw Enterprise Billing Data'!B380</f>
        <v/>
      </c>
      <c r="C380" s="13">
        <f>'Raw Enterprise Billing Data'!C380</f>
        <v/>
      </c>
      <c r="D380" s="14">
        <f>'Raw Enterprise Billing Data'!D380</f>
        <v/>
      </c>
      <c r="E380" s="13">
        <f>'Raw Enterprise Billing Data'!E380</f>
        <v/>
      </c>
      <c r="F380" s="14">
        <f>'Raw Enterprise Billing Data'!F380</f>
        <v/>
      </c>
      <c r="G380" s="15">
        <f>'Raw Enterprise Billing Data'!H380</f>
        <v/>
      </c>
      <c r="H380" s="13">
        <f>IF(COUNTIF($A$5:$A$499, A380)&gt;1, "⚠️ DUPLICATE", "UNIQUE")</f>
        <v/>
      </c>
      <c r="I380" s="14">
        <f>IF(OR(ISBLANK(D380), D380=""), "Unassigned", D380)</f>
        <v/>
      </c>
      <c r="J380" s="13">
        <f>IF(G380&lt;0, "CREDIT / ADJUSTMENT", "STANDARD USAGE")</f>
        <v/>
      </c>
    </row>
    <row r="381">
      <c r="A381" s="13">
        <f>'Raw Enterprise Billing Data'!A381</f>
        <v/>
      </c>
      <c r="B381" s="13">
        <f>'Raw Enterprise Billing Data'!B381</f>
        <v/>
      </c>
      <c r="C381" s="13">
        <f>'Raw Enterprise Billing Data'!C381</f>
        <v/>
      </c>
      <c r="D381" s="14">
        <f>'Raw Enterprise Billing Data'!D381</f>
        <v/>
      </c>
      <c r="E381" s="13">
        <f>'Raw Enterprise Billing Data'!E381</f>
        <v/>
      </c>
      <c r="F381" s="14">
        <f>'Raw Enterprise Billing Data'!F381</f>
        <v/>
      </c>
      <c r="G381" s="15">
        <f>'Raw Enterprise Billing Data'!H381</f>
        <v/>
      </c>
      <c r="H381" s="13">
        <f>IF(COUNTIF($A$5:$A$499, A381)&gt;1, "⚠️ DUPLICATE", "UNIQUE")</f>
        <v/>
      </c>
      <c r="I381" s="14">
        <f>IF(OR(ISBLANK(D381), D381=""), "Unassigned", D381)</f>
        <v/>
      </c>
      <c r="J381" s="13">
        <f>IF(G381&lt;0, "CREDIT / ADJUSTMENT", "STANDARD USAGE")</f>
        <v/>
      </c>
    </row>
    <row r="382">
      <c r="A382" s="13">
        <f>'Raw Enterprise Billing Data'!A382</f>
        <v/>
      </c>
      <c r="B382" s="13">
        <f>'Raw Enterprise Billing Data'!B382</f>
        <v/>
      </c>
      <c r="C382" s="13">
        <f>'Raw Enterprise Billing Data'!C382</f>
        <v/>
      </c>
      <c r="D382" s="14">
        <f>'Raw Enterprise Billing Data'!D382</f>
        <v/>
      </c>
      <c r="E382" s="13">
        <f>'Raw Enterprise Billing Data'!E382</f>
        <v/>
      </c>
      <c r="F382" s="14">
        <f>'Raw Enterprise Billing Data'!F382</f>
        <v/>
      </c>
      <c r="G382" s="15">
        <f>'Raw Enterprise Billing Data'!H382</f>
        <v/>
      </c>
      <c r="H382" s="13">
        <f>IF(COUNTIF($A$5:$A$499, A382)&gt;1, "⚠️ DUPLICATE", "UNIQUE")</f>
        <v/>
      </c>
      <c r="I382" s="14">
        <f>IF(OR(ISBLANK(D382), D382=""), "Unassigned", D382)</f>
        <v/>
      </c>
      <c r="J382" s="13">
        <f>IF(G382&lt;0, "CREDIT / ADJUSTMENT", "STANDARD USAGE")</f>
        <v/>
      </c>
    </row>
    <row r="383">
      <c r="A383" s="13">
        <f>'Raw Enterprise Billing Data'!A383</f>
        <v/>
      </c>
      <c r="B383" s="13">
        <f>'Raw Enterprise Billing Data'!B383</f>
        <v/>
      </c>
      <c r="C383" s="13">
        <f>'Raw Enterprise Billing Data'!C383</f>
        <v/>
      </c>
      <c r="D383" s="14">
        <f>'Raw Enterprise Billing Data'!D383</f>
        <v/>
      </c>
      <c r="E383" s="13">
        <f>'Raw Enterprise Billing Data'!E383</f>
        <v/>
      </c>
      <c r="F383" s="14">
        <f>'Raw Enterprise Billing Data'!F383</f>
        <v/>
      </c>
      <c r="G383" s="15">
        <f>'Raw Enterprise Billing Data'!H383</f>
        <v/>
      </c>
      <c r="H383" s="13">
        <f>IF(COUNTIF($A$5:$A$499, A383)&gt;1, "⚠️ DUPLICATE", "UNIQUE")</f>
        <v/>
      </c>
      <c r="I383" s="14">
        <f>IF(OR(ISBLANK(D383), D383=""), "Unassigned", D383)</f>
        <v/>
      </c>
      <c r="J383" s="13">
        <f>IF(G383&lt;0, "CREDIT / ADJUSTMENT", "STANDARD USAGE")</f>
        <v/>
      </c>
    </row>
    <row r="384">
      <c r="A384" s="13">
        <f>'Raw Enterprise Billing Data'!A384</f>
        <v/>
      </c>
      <c r="B384" s="13">
        <f>'Raw Enterprise Billing Data'!B384</f>
        <v/>
      </c>
      <c r="C384" s="13">
        <f>'Raw Enterprise Billing Data'!C384</f>
        <v/>
      </c>
      <c r="D384" s="14">
        <f>'Raw Enterprise Billing Data'!D384</f>
        <v/>
      </c>
      <c r="E384" s="13">
        <f>'Raw Enterprise Billing Data'!E384</f>
        <v/>
      </c>
      <c r="F384" s="14">
        <f>'Raw Enterprise Billing Data'!F384</f>
        <v/>
      </c>
      <c r="G384" s="15">
        <f>'Raw Enterprise Billing Data'!H384</f>
        <v/>
      </c>
      <c r="H384" s="13">
        <f>IF(COUNTIF($A$5:$A$499, A384)&gt;1, "⚠️ DUPLICATE", "UNIQUE")</f>
        <v/>
      </c>
      <c r="I384" s="14">
        <f>IF(OR(ISBLANK(D384), D384=""), "Unassigned", D384)</f>
        <v/>
      </c>
      <c r="J384" s="13">
        <f>IF(G384&lt;0, "CREDIT / ADJUSTMENT", "STANDARD USAGE")</f>
        <v/>
      </c>
    </row>
    <row r="385">
      <c r="A385" s="13">
        <f>'Raw Enterprise Billing Data'!A385</f>
        <v/>
      </c>
      <c r="B385" s="13">
        <f>'Raw Enterprise Billing Data'!B385</f>
        <v/>
      </c>
      <c r="C385" s="13">
        <f>'Raw Enterprise Billing Data'!C385</f>
        <v/>
      </c>
      <c r="D385" s="14">
        <f>'Raw Enterprise Billing Data'!D385</f>
        <v/>
      </c>
      <c r="E385" s="13">
        <f>'Raw Enterprise Billing Data'!E385</f>
        <v/>
      </c>
      <c r="F385" s="14">
        <f>'Raw Enterprise Billing Data'!F385</f>
        <v/>
      </c>
      <c r="G385" s="15">
        <f>'Raw Enterprise Billing Data'!H385</f>
        <v/>
      </c>
      <c r="H385" s="13">
        <f>IF(COUNTIF($A$5:$A$499, A385)&gt;1, "⚠️ DUPLICATE", "UNIQUE")</f>
        <v/>
      </c>
      <c r="I385" s="14">
        <f>IF(OR(ISBLANK(D385), D385=""), "Unassigned", D385)</f>
        <v/>
      </c>
      <c r="J385" s="13">
        <f>IF(G385&lt;0, "CREDIT / ADJUSTMENT", "STANDARD USAGE")</f>
        <v/>
      </c>
    </row>
    <row r="386">
      <c r="A386" s="13">
        <f>'Raw Enterprise Billing Data'!A386</f>
        <v/>
      </c>
      <c r="B386" s="13">
        <f>'Raw Enterprise Billing Data'!B386</f>
        <v/>
      </c>
      <c r="C386" s="13">
        <f>'Raw Enterprise Billing Data'!C386</f>
        <v/>
      </c>
      <c r="D386" s="14">
        <f>'Raw Enterprise Billing Data'!D386</f>
        <v/>
      </c>
      <c r="E386" s="13">
        <f>'Raw Enterprise Billing Data'!E386</f>
        <v/>
      </c>
      <c r="F386" s="14">
        <f>'Raw Enterprise Billing Data'!F386</f>
        <v/>
      </c>
      <c r="G386" s="15">
        <f>'Raw Enterprise Billing Data'!H386</f>
        <v/>
      </c>
      <c r="H386" s="13">
        <f>IF(COUNTIF($A$5:$A$499, A386)&gt;1, "⚠️ DUPLICATE", "UNIQUE")</f>
        <v/>
      </c>
      <c r="I386" s="14">
        <f>IF(OR(ISBLANK(D386), D386=""), "Unassigned", D386)</f>
        <v/>
      </c>
      <c r="J386" s="13">
        <f>IF(G386&lt;0, "CREDIT / ADJUSTMENT", "STANDARD USAGE")</f>
        <v/>
      </c>
    </row>
    <row r="387">
      <c r="A387" s="13">
        <f>'Raw Enterprise Billing Data'!A387</f>
        <v/>
      </c>
      <c r="B387" s="13">
        <f>'Raw Enterprise Billing Data'!B387</f>
        <v/>
      </c>
      <c r="C387" s="13">
        <f>'Raw Enterprise Billing Data'!C387</f>
        <v/>
      </c>
      <c r="D387" s="14">
        <f>'Raw Enterprise Billing Data'!D387</f>
        <v/>
      </c>
      <c r="E387" s="13">
        <f>'Raw Enterprise Billing Data'!E387</f>
        <v/>
      </c>
      <c r="F387" s="14">
        <f>'Raw Enterprise Billing Data'!F387</f>
        <v/>
      </c>
      <c r="G387" s="15">
        <f>'Raw Enterprise Billing Data'!H387</f>
        <v/>
      </c>
      <c r="H387" s="13">
        <f>IF(COUNTIF($A$5:$A$499, A387)&gt;1, "⚠️ DUPLICATE", "UNIQUE")</f>
        <v/>
      </c>
      <c r="I387" s="14">
        <f>IF(OR(ISBLANK(D387), D387=""), "Unassigned", D387)</f>
        <v/>
      </c>
      <c r="J387" s="13">
        <f>IF(G387&lt;0, "CREDIT / ADJUSTMENT", "STANDARD USAGE")</f>
        <v/>
      </c>
    </row>
    <row r="388">
      <c r="A388" s="13">
        <f>'Raw Enterprise Billing Data'!A388</f>
        <v/>
      </c>
      <c r="B388" s="13">
        <f>'Raw Enterprise Billing Data'!B388</f>
        <v/>
      </c>
      <c r="C388" s="13">
        <f>'Raw Enterprise Billing Data'!C388</f>
        <v/>
      </c>
      <c r="D388" s="14">
        <f>'Raw Enterprise Billing Data'!D388</f>
        <v/>
      </c>
      <c r="E388" s="13">
        <f>'Raw Enterprise Billing Data'!E388</f>
        <v/>
      </c>
      <c r="F388" s="14">
        <f>'Raw Enterprise Billing Data'!F388</f>
        <v/>
      </c>
      <c r="G388" s="15">
        <f>'Raw Enterprise Billing Data'!H388</f>
        <v/>
      </c>
      <c r="H388" s="13">
        <f>IF(COUNTIF($A$5:$A$499, A388)&gt;1, "⚠️ DUPLICATE", "UNIQUE")</f>
        <v/>
      </c>
      <c r="I388" s="14">
        <f>IF(OR(ISBLANK(D388), D388=""), "Unassigned", D388)</f>
        <v/>
      </c>
      <c r="J388" s="13">
        <f>IF(G388&lt;0, "CREDIT / ADJUSTMENT", "STANDARD USAGE")</f>
        <v/>
      </c>
    </row>
    <row r="389">
      <c r="A389" s="13">
        <f>'Raw Enterprise Billing Data'!A389</f>
        <v/>
      </c>
      <c r="B389" s="13">
        <f>'Raw Enterprise Billing Data'!B389</f>
        <v/>
      </c>
      <c r="C389" s="13">
        <f>'Raw Enterprise Billing Data'!C389</f>
        <v/>
      </c>
      <c r="D389" s="14">
        <f>'Raw Enterprise Billing Data'!D389</f>
        <v/>
      </c>
      <c r="E389" s="13">
        <f>'Raw Enterprise Billing Data'!E389</f>
        <v/>
      </c>
      <c r="F389" s="14">
        <f>'Raw Enterprise Billing Data'!F389</f>
        <v/>
      </c>
      <c r="G389" s="15">
        <f>'Raw Enterprise Billing Data'!H389</f>
        <v/>
      </c>
      <c r="H389" s="13">
        <f>IF(COUNTIF($A$5:$A$499, A389)&gt;1, "⚠️ DUPLICATE", "UNIQUE")</f>
        <v/>
      </c>
      <c r="I389" s="14">
        <f>IF(OR(ISBLANK(D389), D389=""), "Unassigned", D389)</f>
        <v/>
      </c>
      <c r="J389" s="13">
        <f>IF(G389&lt;0, "CREDIT / ADJUSTMENT", "STANDARD USAGE")</f>
        <v/>
      </c>
    </row>
    <row r="390">
      <c r="A390" s="13">
        <f>'Raw Enterprise Billing Data'!A390</f>
        <v/>
      </c>
      <c r="B390" s="13">
        <f>'Raw Enterprise Billing Data'!B390</f>
        <v/>
      </c>
      <c r="C390" s="13">
        <f>'Raw Enterprise Billing Data'!C390</f>
        <v/>
      </c>
      <c r="D390" s="14">
        <f>'Raw Enterprise Billing Data'!D390</f>
        <v/>
      </c>
      <c r="E390" s="13">
        <f>'Raw Enterprise Billing Data'!E390</f>
        <v/>
      </c>
      <c r="F390" s="14">
        <f>'Raw Enterprise Billing Data'!F390</f>
        <v/>
      </c>
      <c r="G390" s="15">
        <f>'Raw Enterprise Billing Data'!H390</f>
        <v/>
      </c>
      <c r="H390" s="13">
        <f>IF(COUNTIF($A$5:$A$499, A390)&gt;1, "⚠️ DUPLICATE", "UNIQUE")</f>
        <v/>
      </c>
      <c r="I390" s="14">
        <f>IF(OR(ISBLANK(D390), D390=""), "Unassigned", D390)</f>
        <v/>
      </c>
      <c r="J390" s="13">
        <f>IF(G390&lt;0, "CREDIT / ADJUSTMENT", "STANDARD USAGE")</f>
        <v/>
      </c>
    </row>
    <row r="391">
      <c r="A391" s="13">
        <f>'Raw Enterprise Billing Data'!A391</f>
        <v/>
      </c>
      <c r="B391" s="13">
        <f>'Raw Enterprise Billing Data'!B391</f>
        <v/>
      </c>
      <c r="C391" s="13">
        <f>'Raw Enterprise Billing Data'!C391</f>
        <v/>
      </c>
      <c r="D391" s="14">
        <f>'Raw Enterprise Billing Data'!D391</f>
        <v/>
      </c>
      <c r="E391" s="13">
        <f>'Raw Enterprise Billing Data'!E391</f>
        <v/>
      </c>
      <c r="F391" s="14">
        <f>'Raw Enterprise Billing Data'!F391</f>
        <v/>
      </c>
      <c r="G391" s="15">
        <f>'Raw Enterprise Billing Data'!H391</f>
        <v/>
      </c>
      <c r="H391" s="13">
        <f>IF(COUNTIF($A$5:$A$499, A391)&gt;1, "⚠️ DUPLICATE", "UNIQUE")</f>
        <v/>
      </c>
      <c r="I391" s="14">
        <f>IF(OR(ISBLANK(D391), D391=""), "Unassigned", D391)</f>
        <v/>
      </c>
      <c r="J391" s="13">
        <f>IF(G391&lt;0, "CREDIT / ADJUSTMENT", "STANDARD USAGE")</f>
        <v/>
      </c>
    </row>
    <row r="392">
      <c r="A392" s="13">
        <f>'Raw Enterprise Billing Data'!A392</f>
        <v/>
      </c>
      <c r="B392" s="13">
        <f>'Raw Enterprise Billing Data'!B392</f>
        <v/>
      </c>
      <c r="C392" s="13">
        <f>'Raw Enterprise Billing Data'!C392</f>
        <v/>
      </c>
      <c r="D392" s="14">
        <f>'Raw Enterprise Billing Data'!D392</f>
        <v/>
      </c>
      <c r="E392" s="13">
        <f>'Raw Enterprise Billing Data'!E392</f>
        <v/>
      </c>
      <c r="F392" s="14">
        <f>'Raw Enterprise Billing Data'!F392</f>
        <v/>
      </c>
      <c r="G392" s="15">
        <f>'Raw Enterprise Billing Data'!H392</f>
        <v/>
      </c>
      <c r="H392" s="13">
        <f>IF(COUNTIF($A$5:$A$499, A392)&gt;1, "⚠️ DUPLICATE", "UNIQUE")</f>
        <v/>
      </c>
      <c r="I392" s="14">
        <f>IF(OR(ISBLANK(D392), D392=""), "Unassigned", D392)</f>
        <v/>
      </c>
      <c r="J392" s="13">
        <f>IF(G392&lt;0, "CREDIT / ADJUSTMENT", "STANDARD USAGE")</f>
        <v/>
      </c>
    </row>
    <row r="393">
      <c r="A393" s="13">
        <f>'Raw Enterprise Billing Data'!A393</f>
        <v/>
      </c>
      <c r="B393" s="13">
        <f>'Raw Enterprise Billing Data'!B393</f>
        <v/>
      </c>
      <c r="C393" s="13">
        <f>'Raw Enterprise Billing Data'!C393</f>
        <v/>
      </c>
      <c r="D393" s="14">
        <f>'Raw Enterprise Billing Data'!D393</f>
        <v/>
      </c>
      <c r="E393" s="13">
        <f>'Raw Enterprise Billing Data'!E393</f>
        <v/>
      </c>
      <c r="F393" s="14">
        <f>'Raw Enterprise Billing Data'!F393</f>
        <v/>
      </c>
      <c r="G393" s="15">
        <f>'Raw Enterprise Billing Data'!H393</f>
        <v/>
      </c>
      <c r="H393" s="13">
        <f>IF(COUNTIF($A$5:$A$499, A393)&gt;1, "⚠️ DUPLICATE", "UNIQUE")</f>
        <v/>
      </c>
      <c r="I393" s="14">
        <f>IF(OR(ISBLANK(D393), D393=""), "Unassigned", D393)</f>
        <v/>
      </c>
      <c r="J393" s="13">
        <f>IF(G393&lt;0, "CREDIT / ADJUSTMENT", "STANDARD USAGE")</f>
        <v/>
      </c>
    </row>
    <row r="394">
      <c r="A394" s="13">
        <f>'Raw Enterprise Billing Data'!A394</f>
        <v/>
      </c>
      <c r="B394" s="13">
        <f>'Raw Enterprise Billing Data'!B394</f>
        <v/>
      </c>
      <c r="C394" s="13">
        <f>'Raw Enterprise Billing Data'!C394</f>
        <v/>
      </c>
      <c r="D394" s="14">
        <f>'Raw Enterprise Billing Data'!D394</f>
        <v/>
      </c>
      <c r="E394" s="13">
        <f>'Raw Enterprise Billing Data'!E394</f>
        <v/>
      </c>
      <c r="F394" s="14">
        <f>'Raw Enterprise Billing Data'!F394</f>
        <v/>
      </c>
      <c r="G394" s="15">
        <f>'Raw Enterprise Billing Data'!H394</f>
        <v/>
      </c>
      <c r="H394" s="13">
        <f>IF(COUNTIF($A$5:$A$499, A394)&gt;1, "⚠️ DUPLICATE", "UNIQUE")</f>
        <v/>
      </c>
      <c r="I394" s="14">
        <f>IF(OR(ISBLANK(D394), D394=""), "Unassigned", D394)</f>
        <v/>
      </c>
      <c r="J394" s="13">
        <f>IF(G394&lt;0, "CREDIT / ADJUSTMENT", "STANDARD USAGE")</f>
        <v/>
      </c>
    </row>
    <row r="395">
      <c r="A395" s="13">
        <f>'Raw Enterprise Billing Data'!A395</f>
        <v/>
      </c>
      <c r="B395" s="13">
        <f>'Raw Enterprise Billing Data'!B395</f>
        <v/>
      </c>
      <c r="C395" s="13">
        <f>'Raw Enterprise Billing Data'!C395</f>
        <v/>
      </c>
      <c r="D395" s="14">
        <f>'Raw Enterprise Billing Data'!D395</f>
        <v/>
      </c>
      <c r="E395" s="13">
        <f>'Raw Enterprise Billing Data'!E395</f>
        <v/>
      </c>
      <c r="F395" s="14">
        <f>'Raw Enterprise Billing Data'!F395</f>
        <v/>
      </c>
      <c r="G395" s="15">
        <f>'Raw Enterprise Billing Data'!H395</f>
        <v/>
      </c>
      <c r="H395" s="13">
        <f>IF(COUNTIF($A$5:$A$499, A395)&gt;1, "⚠️ DUPLICATE", "UNIQUE")</f>
        <v/>
      </c>
      <c r="I395" s="14">
        <f>IF(OR(ISBLANK(D395), D395=""), "Unassigned", D395)</f>
        <v/>
      </c>
      <c r="J395" s="13">
        <f>IF(G395&lt;0, "CREDIT / ADJUSTMENT", "STANDARD USAGE")</f>
        <v/>
      </c>
    </row>
    <row r="396">
      <c r="A396" s="13">
        <f>'Raw Enterprise Billing Data'!A396</f>
        <v/>
      </c>
      <c r="B396" s="13">
        <f>'Raw Enterprise Billing Data'!B396</f>
        <v/>
      </c>
      <c r="C396" s="13">
        <f>'Raw Enterprise Billing Data'!C396</f>
        <v/>
      </c>
      <c r="D396" s="14">
        <f>'Raw Enterprise Billing Data'!D396</f>
        <v/>
      </c>
      <c r="E396" s="13">
        <f>'Raw Enterprise Billing Data'!E396</f>
        <v/>
      </c>
      <c r="F396" s="14">
        <f>'Raw Enterprise Billing Data'!F396</f>
        <v/>
      </c>
      <c r="G396" s="15">
        <f>'Raw Enterprise Billing Data'!H396</f>
        <v/>
      </c>
      <c r="H396" s="13">
        <f>IF(COUNTIF($A$5:$A$499, A396)&gt;1, "⚠️ DUPLICATE", "UNIQUE")</f>
        <v/>
      </c>
      <c r="I396" s="14">
        <f>IF(OR(ISBLANK(D396), D396=""), "Unassigned", D396)</f>
        <v/>
      </c>
      <c r="J396" s="13">
        <f>IF(G396&lt;0, "CREDIT / ADJUSTMENT", "STANDARD USAGE")</f>
        <v/>
      </c>
    </row>
    <row r="397">
      <c r="A397" s="13">
        <f>'Raw Enterprise Billing Data'!A397</f>
        <v/>
      </c>
      <c r="B397" s="13">
        <f>'Raw Enterprise Billing Data'!B397</f>
        <v/>
      </c>
      <c r="C397" s="13">
        <f>'Raw Enterprise Billing Data'!C397</f>
        <v/>
      </c>
      <c r="D397" s="14">
        <f>'Raw Enterprise Billing Data'!D397</f>
        <v/>
      </c>
      <c r="E397" s="13">
        <f>'Raw Enterprise Billing Data'!E397</f>
        <v/>
      </c>
      <c r="F397" s="14">
        <f>'Raw Enterprise Billing Data'!F397</f>
        <v/>
      </c>
      <c r="G397" s="15">
        <f>'Raw Enterprise Billing Data'!H397</f>
        <v/>
      </c>
      <c r="H397" s="13">
        <f>IF(COUNTIF($A$5:$A$499, A397)&gt;1, "⚠️ DUPLICATE", "UNIQUE")</f>
        <v/>
      </c>
      <c r="I397" s="14">
        <f>IF(OR(ISBLANK(D397), D397=""), "Unassigned", D397)</f>
        <v/>
      </c>
      <c r="J397" s="13">
        <f>IF(G397&lt;0, "CREDIT / ADJUSTMENT", "STANDARD USAGE")</f>
        <v/>
      </c>
    </row>
    <row r="398">
      <c r="A398" s="13">
        <f>'Raw Enterprise Billing Data'!A398</f>
        <v/>
      </c>
      <c r="B398" s="13">
        <f>'Raw Enterprise Billing Data'!B398</f>
        <v/>
      </c>
      <c r="C398" s="13">
        <f>'Raw Enterprise Billing Data'!C398</f>
        <v/>
      </c>
      <c r="D398" s="14">
        <f>'Raw Enterprise Billing Data'!D398</f>
        <v/>
      </c>
      <c r="E398" s="13">
        <f>'Raw Enterprise Billing Data'!E398</f>
        <v/>
      </c>
      <c r="F398" s="14">
        <f>'Raw Enterprise Billing Data'!F398</f>
        <v/>
      </c>
      <c r="G398" s="15">
        <f>'Raw Enterprise Billing Data'!H398</f>
        <v/>
      </c>
      <c r="H398" s="13">
        <f>IF(COUNTIF($A$5:$A$499, A398)&gt;1, "⚠️ DUPLICATE", "UNIQUE")</f>
        <v/>
      </c>
      <c r="I398" s="14">
        <f>IF(OR(ISBLANK(D398), D398=""), "Unassigned", D398)</f>
        <v/>
      </c>
      <c r="J398" s="13">
        <f>IF(G398&lt;0, "CREDIT / ADJUSTMENT", "STANDARD USAGE")</f>
        <v/>
      </c>
    </row>
    <row r="399">
      <c r="A399" s="13">
        <f>'Raw Enterprise Billing Data'!A399</f>
        <v/>
      </c>
      <c r="B399" s="13">
        <f>'Raw Enterprise Billing Data'!B399</f>
        <v/>
      </c>
      <c r="C399" s="13">
        <f>'Raw Enterprise Billing Data'!C399</f>
        <v/>
      </c>
      <c r="D399" s="14">
        <f>'Raw Enterprise Billing Data'!D399</f>
        <v/>
      </c>
      <c r="E399" s="13">
        <f>'Raw Enterprise Billing Data'!E399</f>
        <v/>
      </c>
      <c r="F399" s="14">
        <f>'Raw Enterprise Billing Data'!F399</f>
        <v/>
      </c>
      <c r="G399" s="15">
        <f>'Raw Enterprise Billing Data'!H399</f>
        <v/>
      </c>
      <c r="H399" s="13">
        <f>IF(COUNTIF($A$5:$A$499, A399)&gt;1, "⚠️ DUPLICATE", "UNIQUE")</f>
        <v/>
      </c>
      <c r="I399" s="14">
        <f>IF(OR(ISBLANK(D399), D399=""), "Unassigned", D399)</f>
        <v/>
      </c>
      <c r="J399" s="13">
        <f>IF(G399&lt;0, "CREDIT / ADJUSTMENT", "STANDARD USAGE")</f>
        <v/>
      </c>
    </row>
    <row r="400">
      <c r="A400" s="13">
        <f>'Raw Enterprise Billing Data'!A400</f>
        <v/>
      </c>
      <c r="B400" s="13">
        <f>'Raw Enterprise Billing Data'!B400</f>
        <v/>
      </c>
      <c r="C400" s="13">
        <f>'Raw Enterprise Billing Data'!C400</f>
        <v/>
      </c>
      <c r="D400" s="14">
        <f>'Raw Enterprise Billing Data'!D400</f>
        <v/>
      </c>
      <c r="E400" s="13">
        <f>'Raw Enterprise Billing Data'!E400</f>
        <v/>
      </c>
      <c r="F400" s="14">
        <f>'Raw Enterprise Billing Data'!F400</f>
        <v/>
      </c>
      <c r="G400" s="15">
        <f>'Raw Enterprise Billing Data'!H400</f>
        <v/>
      </c>
      <c r="H400" s="13">
        <f>IF(COUNTIF($A$5:$A$499, A400)&gt;1, "⚠️ DUPLICATE", "UNIQUE")</f>
        <v/>
      </c>
      <c r="I400" s="14">
        <f>IF(OR(ISBLANK(D400), D400=""), "Unassigned", D400)</f>
        <v/>
      </c>
      <c r="J400" s="13">
        <f>IF(G400&lt;0, "CREDIT / ADJUSTMENT", "STANDARD USAGE")</f>
        <v/>
      </c>
    </row>
    <row r="401">
      <c r="A401" s="13">
        <f>'Raw Enterprise Billing Data'!A401</f>
        <v/>
      </c>
      <c r="B401" s="13">
        <f>'Raw Enterprise Billing Data'!B401</f>
        <v/>
      </c>
      <c r="C401" s="13">
        <f>'Raw Enterprise Billing Data'!C401</f>
        <v/>
      </c>
      <c r="D401" s="14">
        <f>'Raw Enterprise Billing Data'!D401</f>
        <v/>
      </c>
      <c r="E401" s="13">
        <f>'Raw Enterprise Billing Data'!E401</f>
        <v/>
      </c>
      <c r="F401" s="14">
        <f>'Raw Enterprise Billing Data'!F401</f>
        <v/>
      </c>
      <c r="G401" s="15">
        <f>'Raw Enterprise Billing Data'!H401</f>
        <v/>
      </c>
      <c r="H401" s="13">
        <f>IF(COUNTIF($A$5:$A$499, A401)&gt;1, "⚠️ DUPLICATE", "UNIQUE")</f>
        <v/>
      </c>
      <c r="I401" s="14">
        <f>IF(OR(ISBLANK(D401), D401=""), "Unassigned", D401)</f>
        <v/>
      </c>
      <c r="J401" s="13">
        <f>IF(G401&lt;0, "CREDIT / ADJUSTMENT", "STANDARD USAGE")</f>
        <v/>
      </c>
    </row>
    <row r="402">
      <c r="A402" s="13">
        <f>'Raw Enterprise Billing Data'!A402</f>
        <v/>
      </c>
      <c r="B402" s="13">
        <f>'Raw Enterprise Billing Data'!B402</f>
        <v/>
      </c>
      <c r="C402" s="13">
        <f>'Raw Enterprise Billing Data'!C402</f>
        <v/>
      </c>
      <c r="D402" s="14">
        <f>'Raw Enterprise Billing Data'!D402</f>
        <v/>
      </c>
      <c r="E402" s="13">
        <f>'Raw Enterprise Billing Data'!E402</f>
        <v/>
      </c>
      <c r="F402" s="14">
        <f>'Raw Enterprise Billing Data'!F402</f>
        <v/>
      </c>
      <c r="G402" s="15">
        <f>'Raw Enterprise Billing Data'!H402</f>
        <v/>
      </c>
      <c r="H402" s="13">
        <f>IF(COUNTIF($A$5:$A$499, A402)&gt;1, "⚠️ DUPLICATE", "UNIQUE")</f>
        <v/>
      </c>
      <c r="I402" s="14">
        <f>IF(OR(ISBLANK(D402), D402=""), "Unassigned", D402)</f>
        <v/>
      </c>
      <c r="J402" s="13">
        <f>IF(G402&lt;0, "CREDIT / ADJUSTMENT", "STANDARD USAGE")</f>
        <v/>
      </c>
    </row>
    <row r="403">
      <c r="A403" s="13">
        <f>'Raw Enterprise Billing Data'!A403</f>
        <v/>
      </c>
      <c r="B403" s="13">
        <f>'Raw Enterprise Billing Data'!B403</f>
        <v/>
      </c>
      <c r="C403" s="13">
        <f>'Raw Enterprise Billing Data'!C403</f>
        <v/>
      </c>
      <c r="D403" s="14">
        <f>'Raw Enterprise Billing Data'!D403</f>
        <v/>
      </c>
      <c r="E403" s="13">
        <f>'Raw Enterprise Billing Data'!E403</f>
        <v/>
      </c>
      <c r="F403" s="14">
        <f>'Raw Enterprise Billing Data'!F403</f>
        <v/>
      </c>
      <c r="G403" s="15">
        <f>'Raw Enterprise Billing Data'!H403</f>
        <v/>
      </c>
      <c r="H403" s="13">
        <f>IF(COUNTIF($A$5:$A$499, A403)&gt;1, "⚠️ DUPLICATE", "UNIQUE")</f>
        <v/>
      </c>
      <c r="I403" s="14">
        <f>IF(OR(ISBLANK(D403), D403=""), "Unassigned", D403)</f>
        <v/>
      </c>
      <c r="J403" s="13">
        <f>IF(G403&lt;0, "CREDIT / ADJUSTMENT", "STANDARD USAGE")</f>
        <v/>
      </c>
    </row>
    <row r="404">
      <c r="A404" s="13">
        <f>'Raw Enterprise Billing Data'!A404</f>
        <v/>
      </c>
      <c r="B404" s="13">
        <f>'Raw Enterprise Billing Data'!B404</f>
        <v/>
      </c>
      <c r="C404" s="13">
        <f>'Raw Enterprise Billing Data'!C404</f>
        <v/>
      </c>
      <c r="D404" s="14">
        <f>'Raw Enterprise Billing Data'!D404</f>
        <v/>
      </c>
      <c r="E404" s="13">
        <f>'Raw Enterprise Billing Data'!E404</f>
        <v/>
      </c>
      <c r="F404" s="14">
        <f>'Raw Enterprise Billing Data'!F404</f>
        <v/>
      </c>
      <c r="G404" s="15">
        <f>'Raw Enterprise Billing Data'!H404</f>
        <v/>
      </c>
      <c r="H404" s="13">
        <f>IF(COUNTIF($A$5:$A$499, A404)&gt;1, "⚠️ DUPLICATE", "UNIQUE")</f>
        <v/>
      </c>
      <c r="I404" s="14">
        <f>IF(OR(ISBLANK(D404), D404=""), "Unassigned", D404)</f>
        <v/>
      </c>
      <c r="J404" s="13">
        <f>IF(G404&lt;0, "CREDIT / ADJUSTMENT", "STANDARD USAGE")</f>
        <v/>
      </c>
    </row>
    <row r="405">
      <c r="A405" s="13">
        <f>'Raw Enterprise Billing Data'!A405</f>
        <v/>
      </c>
      <c r="B405" s="13">
        <f>'Raw Enterprise Billing Data'!B405</f>
        <v/>
      </c>
      <c r="C405" s="13">
        <f>'Raw Enterprise Billing Data'!C405</f>
        <v/>
      </c>
      <c r="D405" s="14">
        <f>'Raw Enterprise Billing Data'!D405</f>
        <v/>
      </c>
      <c r="E405" s="13">
        <f>'Raw Enterprise Billing Data'!E405</f>
        <v/>
      </c>
      <c r="F405" s="14">
        <f>'Raw Enterprise Billing Data'!F405</f>
        <v/>
      </c>
      <c r="G405" s="15">
        <f>'Raw Enterprise Billing Data'!H405</f>
        <v/>
      </c>
      <c r="H405" s="13">
        <f>IF(COUNTIF($A$5:$A$499, A405)&gt;1, "⚠️ DUPLICATE", "UNIQUE")</f>
        <v/>
      </c>
      <c r="I405" s="14">
        <f>IF(OR(ISBLANK(D405), D405=""), "Unassigned", D405)</f>
        <v/>
      </c>
      <c r="J405" s="13">
        <f>IF(G405&lt;0, "CREDIT / ADJUSTMENT", "STANDARD USAGE")</f>
        <v/>
      </c>
    </row>
    <row r="406">
      <c r="A406" s="13">
        <f>'Raw Enterprise Billing Data'!A406</f>
        <v/>
      </c>
      <c r="B406" s="13">
        <f>'Raw Enterprise Billing Data'!B406</f>
        <v/>
      </c>
      <c r="C406" s="13">
        <f>'Raw Enterprise Billing Data'!C406</f>
        <v/>
      </c>
      <c r="D406" s="14">
        <f>'Raw Enterprise Billing Data'!D406</f>
        <v/>
      </c>
      <c r="E406" s="13">
        <f>'Raw Enterprise Billing Data'!E406</f>
        <v/>
      </c>
      <c r="F406" s="14">
        <f>'Raw Enterprise Billing Data'!F406</f>
        <v/>
      </c>
      <c r="G406" s="15">
        <f>'Raw Enterprise Billing Data'!H406</f>
        <v/>
      </c>
      <c r="H406" s="13">
        <f>IF(COUNTIF($A$5:$A$499, A406)&gt;1, "⚠️ DUPLICATE", "UNIQUE")</f>
        <v/>
      </c>
      <c r="I406" s="14">
        <f>IF(OR(ISBLANK(D406), D406=""), "Unassigned", D406)</f>
        <v/>
      </c>
      <c r="J406" s="13">
        <f>IF(G406&lt;0, "CREDIT / ADJUSTMENT", "STANDARD USAGE")</f>
        <v/>
      </c>
    </row>
    <row r="407">
      <c r="A407" s="13">
        <f>'Raw Enterprise Billing Data'!A407</f>
        <v/>
      </c>
      <c r="B407" s="13">
        <f>'Raw Enterprise Billing Data'!B407</f>
        <v/>
      </c>
      <c r="C407" s="13">
        <f>'Raw Enterprise Billing Data'!C407</f>
        <v/>
      </c>
      <c r="D407" s="14">
        <f>'Raw Enterprise Billing Data'!D407</f>
        <v/>
      </c>
      <c r="E407" s="13">
        <f>'Raw Enterprise Billing Data'!E407</f>
        <v/>
      </c>
      <c r="F407" s="14">
        <f>'Raw Enterprise Billing Data'!F407</f>
        <v/>
      </c>
      <c r="G407" s="15">
        <f>'Raw Enterprise Billing Data'!H407</f>
        <v/>
      </c>
      <c r="H407" s="13">
        <f>IF(COUNTIF($A$5:$A$499, A407)&gt;1, "⚠️ DUPLICATE", "UNIQUE")</f>
        <v/>
      </c>
      <c r="I407" s="14">
        <f>IF(OR(ISBLANK(D407), D407=""), "Unassigned", D407)</f>
        <v/>
      </c>
      <c r="J407" s="13">
        <f>IF(G407&lt;0, "CREDIT / ADJUSTMENT", "STANDARD USAGE")</f>
        <v/>
      </c>
    </row>
    <row r="408">
      <c r="A408" s="13">
        <f>'Raw Enterprise Billing Data'!A408</f>
        <v/>
      </c>
      <c r="B408" s="13">
        <f>'Raw Enterprise Billing Data'!B408</f>
        <v/>
      </c>
      <c r="C408" s="13">
        <f>'Raw Enterprise Billing Data'!C408</f>
        <v/>
      </c>
      <c r="D408" s="14">
        <f>'Raw Enterprise Billing Data'!D408</f>
        <v/>
      </c>
      <c r="E408" s="13">
        <f>'Raw Enterprise Billing Data'!E408</f>
        <v/>
      </c>
      <c r="F408" s="14">
        <f>'Raw Enterprise Billing Data'!F408</f>
        <v/>
      </c>
      <c r="G408" s="15">
        <f>'Raw Enterprise Billing Data'!H408</f>
        <v/>
      </c>
      <c r="H408" s="13">
        <f>IF(COUNTIF($A$5:$A$499, A408)&gt;1, "⚠️ DUPLICATE", "UNIQUE")</f>
        <v/>
      </c>
      <c r="I408" s="14">
        <f>IF(OR(ISBLANK(D408), D408=""), "Unassigned", D408)</f>
        <v/>
      </c>
      <c r="J408" s="13">
        <f>IF(G408&lt;0, "CREDIT / ADJUSTMENT", "STANDARD USAGE")</f>
        <v/>
      </c>
    </row>
    <row r="409">
      <c r="A409" s="13">
        <f>'Raw Enterprise Billing Data'!A409</f>
        <v/>
      </c>
      <c r="B409" s="13">
        <f>'Raw Enterprise Billing Data'!B409</f>
        <v/>
      </c>
      <c r="C409" s="13">
        <f>'Raw Enterprise Billing Data'!C409</f>
        <v/>
      </c>
      <c r="D409" s="14">
        <f>'Raw Enterprise Billing Data'!D409</f>
        <v/>
      </c>
      <c r="E409" s="13">
        <f>'Raw Enterprise Billing Data'!E409</f>
        <v/>
      </c>
      <c r="F409" s="14">
        <f>'Raw Enterprise Billing Data'!F409</f>
        <v/>
      </c>
      <c r="G409" s="15">
        <f>'Raw Enterprise Billing Data'!H409</f>
        <v/>
      </c>
      <c r="H409" s="13">
        <f>IF(COUNTIF($A$5:$A$499, A409)&gt;1, "⚠️ DUPLICATE", "UNIQUE")</f>
        <v/>
      </c>
      <c r="I409" s="14">
        <f>IF(OR(ISBLANK(D409), D409=""), "Unassigned", D409)</f>
        <v/>
      </c>
      <c r="J409" s="13">
        <f>IF(G409&lt;0, "CREDIT / ADJUSTMENT", "STANDARD USAGE")</f>
        <v/>
      </c>
    </row>
    <row r="410">
      <c r="A410" s="13">
        <f>'Raw Enterprise Billing Data'!A410</f>
        <v/>
      </c>
      <c r="B410" s="13">
        <f>'Raw Enterprise Billing Data'!B410</f>
        <v/>
      </c>
      <c r="C410" s="13">
        <f>'Raw Enterprise Billing Data'!C410</f>
        <v/>
      </c>
      <c r="D410" s="14">
        <f>'Raw Enterprise Billing Data'!D410</f>
        <v/>
      </c>
      <c r="E410" s="13">
        <f>'Raw Enterprise Billing Data'!E410</f>
        <v/>
      </c>
      <c r="F410" s="14">
        <f>'Raw Enterprise Billing Data'!F410</f>
        <v/>
      </c>
      <c r="G410" s="15">
        <f>'Raw Enterprise Billing Data'!H410</f>
        <v/>
      </c>
      <c r="H410" s="13">
        <f>IF(COUNTIF($A$5:$A$499, A410)&gt;1, "⚠️ DUPLICATE", "UNIQUE")</f>
        <v/>
      </c>
      <c r="I410" s="14">
        <f>IF(OR(ISBLANK(D410), D410=""), "Unassigned", D410)</f>
        <v/>
      </c>
      <c r="J410" s="13">
        <f>IF(G410&lt;0, "CREDIT / ADJUSTMENT", "STANDARD USAGE")</f>
        <v/>
      </c>
    </row>
    <row r="411">
      <c r="A411" s="13">
        <f>'Raw Enterprise Billing Data'!A411</f>
        <v/>
      </c>
      <c r="B411" s="13">
        <f>'Raw Enterprise Billing Data'!B411</f>
        <v/>
      </c>
      <c r="C411" s="13">
        <f>'Raw Enterprise Billing Data'!C411</f>
        <v/>
      </c>
      <c r="D411" s="14">
        <f>'Raw Enterprise Billing Data'!D411</f>
        <v/>
      </c>
      <c r="E411" s="13">
        <f>'Raw Enterprise Billing Data'!E411</f>
        <v/>
      </c>
      <c r="F411" s="14">
        <f>'Raw Enterprise Billing Data'!F411</f>
        <v/>
      </c>
      <c r="G411" s="15">
        <f>'Raw Enterprise Billing Data'!H411</f>
        <v/>
      </c>
      <c r="H411" s="13">
        <f>IF(COUNTIF($A$5:$A$499, A411)&gt;1, "⚠️ DUPLICATE", "UNIQUE")</f>
        <v/>
      </c>
      <c r="I411" s="14">
        <f>IF(OR(ISBLANK(D411), D411=""), "Unassigned", D411)</f>
        <v/>
      </c>
      <c r="J411" s="13">
        <f>IF(G411&lt;0, "CREDIT / ADJUSTMENT", "STANDARD USAGE")</f>
        <v/>
      </c>
    </row>
    <row r="412">
      <c r="A412" s="13">
        <f>'Raw Enterprise Billing Data'!A412</f>
        <v/>
      </c>
      <c r="B412" s="13">
        <f>'Raw Enterprise Billing Data'!B412</f>
        <v/>
      </c>
      <c r="C412" s="13">
        <f>'Raw Enterprise Billing Data'!C412</f>
        <v/>
      </c>
      <c r="D412" s="14">
        <f>'Raw Enterprise Billing Data'!D412</f>
        <v/>
      </c>
      <c r="E412" s="13">
        <f>'Raw Enterprise Billing Data'!E412</f>
        <v/>
      </c>
      <c r="F412" s="14">
        <f>'Raw Enterprise Billing Data'!F412</f>
        <v/>
      </c>
      <c r="G412" s="15">
        <f>'Raw Enterprise Billing Data'!H412</f>
        <v/>
      </c>
      <c r="H412" s="13">
        <f>IF(COUNTIF($A$5:$A$499, A412)&gt;1, "⚠️ DUPLICATE", "UNIQUE")</f>
        <v/>
      </c>
      <c r="I412" s="14">
        <f>IF(OR(ISBLANK(D412), D412=""), "Unassigned", D412)</f>
        <v/>
      </c>
      <c r="J412" s="13">
        <f>IF(G412&lt;0, "CREDIT / ADJUSTMENT", "STANDARD USAGE")</f>
        <v/>
      </c>
    </row>
    <row r="413">
      <c r="A413" s="13">
        <f>'Raw Enterprise Billing Data'!A413</f>
        <v/>
      </c>
      <c r="B413" s="13">
        <f>'Raw Enterprise Billing Data'!B413</f>
        <v/>
      </c>
      <c r="C413" s="13">
        <f>'Raw Enterprise Billing Data'!C413</f>
        <v/>
      </c>
      <c r="D413" s="14">
        <f>'Raw Enterprise Billing Data'!D413</f>
        <v/>
      </c>
      <c r="E413" s="13">
        <f>'Raw Enterprise Billing Data'!E413</f>
        <v/>
      </c>
      <c r="F413" s="14">
        <f>'Raw Enterprise Billing Data'!F413</f>
        <v/>
      </c>
      <c r="G413" s="15">
        <f>'Raw Enterprise Billing Data'!H413</f>
        <v/>
      </c>
      <c r="H413" s="13">
        <f>IF(COUNTIF($A$5:$A$499, A413)&gt;1, "⚠️ DUPLICATE", "UNIQUE")</f>
        <v/>
      </c>
      <c r="I413" s="14">
        <f>IF(OR(ISBLANK(D413), D413=""), "Unassigned", D413)</f>
        <v/>
      </c>
      <c r="J413" s="13">
        <f>IF(G413&lt;0, "CREDIT / ADJUSTMENT", "STANDARD USAGE")</f>
        <v/>
      </c>
    </row>
    <row r="414">
      <c r="A414" s="13">
        <f>'Raw Enterprise Billing Data'!A414</f>
        <v/>
      </c>
      <c r="B414" s="13">
        <f>'Raw Enterprise Billing Data'!B414</f>
        <v/>
      </c>
      <c r="C414" s="13">
        <f>'Raw Enterprise Billing Data'!C414</f>
        <v/>
      </c>
      <c r="D414" s="14">
        <f>'Raw Enterprise Billing Data'!D414</f>
        <v/>
      </c>
      <c r="E414" s="13">
        <f>'Raw Enterprise Billing Data'!E414</f>
        <v/>
      </c>
      <c r="F414" s="14">
        <f>'Raw Enterprise Billing Data'!F414</f>
        <v/>
      </c>
      <c r="G414" s="15">
        <f>'Raw Enterprise Billing Data'!H414</f>
        <v/>
      </c>
      <c r="H414" s="13">
        <f>IF(COUNTIF($A$5:$A$499, A414)&gt;1, "⚠️ DUPLICATE", "UNIQUE")</f>
        <v/>
      </c>
      <c r="I414" s="14">
        <f>IF(OR(ISBLANK(D414), D414=""), "Unassigned", D414)</f>
        <v/>
      </c>
      <c r="J414" s="13">
        <f>IF(G414&lt;0, "CREDIT / ADJUSTMENT", "STANDARD USAGE")</f>
        <v/>
      </c>
    </row>
    <row r="415">
      <c r="A415" s="13">
        <f>'Raw Enterprise Billing Data'!A415</f>
        <v/>
      </c>
      <c r="B415" s="13">
        <f>'Raw Enterprise Billing Data'!B415</f>
        <v/>
      </c>
      <c r="C415" s="13">
        <f>'Raw Enterprise Billing Data'!C415</f>
        <v/>
      </c>
      <c r="D415" s="14">
        <f>'Raw Enterprise Billing Data'!D415</f>
        <v/>
      </c>
      <c r="E415" s="13">
        <f>'Raw Enterprise Billing Data'!E415</f>
        <v/>
      </c>
      <c r="F415" s="14">
        <f>'Raw Enterprise Billing Data'!F415</f>
        <v/>
      </c>
      <c r="G415" s="15">
        <f>'Raw Enterprise Billing Data'!H415</f>
        <v/>
      </c>
      <c r="H415" s="13">
        <f>IF(COUNTIF($A$5:$A$499, A415)&gt;1, "⚠️ DUPLICATE", "UNIQUE")</f>
        <v/>
      </c>
      <c r="I415" s="14">
        <f>IF(OR(ISBLANK(D415), D415=""), "Unassigned", D415)</f>
        <v/>
      </c>
      <c r="J415" s="13">
        <f>IF(G415&lt;0, "CREDIT / ADJUSTMENT", "STANDARD USAGE")</f>
        <v/>
      </c>
    </row>
    <row r="416">
      <c r="A416" s="13">
        <f>'Raw Enterprise Billing Data'!A416</f>
        <v/>
      </c>
      <c r="B416" s="13">
        <f>'Raw Enterprise Billing Data'!B416</f>
        <v/>
      </c>
      <c r="C416" s="13">
        <f>'Raw Enterprise Billing Data'!C416</f>
        <v/>
      </c>
      <c r="D416" s="14">
        <f>'Raw Enterprise Billing Data'!D416</f>
        <v/>
      </c>
      <c r="E416" s="13">
        <f>'Raw Enterprise Billing Data'!E416</f>
        <v/>
      </c>
      <c r="F416" s="14">
        <f>'Raw Enterprise Billing Data'!F416</f>
        <v/>
      </c>
      <c r="G416" s="15">
        <f>'Raw Enterprise Billing Data'!H416</f>
        <v/>
      </c>
      <c r="H416" s="13">
        <f>IF(COUNTIF($A$5:$A$499, A416)&gt;1, "⚠️ DUPLICATE", "UNIQUE")</f>
        <v/>
      </c>
      <c r="I416" s="14">
        <f>IF(OR(ISBLANK(D416), D416=""), "Unassigned", D416)</f>
        <v/>
      </c>
      <c r="J416" s="13">
        <f>IF(G416&lt;0, "CREDIT / ADJUSTMENT", "STANDARD USAGE")</f>
        <v/>
      </c>
    </row>
    <row r="417">
      <c r="A417" s="13">
        <f>'Raw Enterprise Billing Data'!A417</f>
        <v/>
      </c>
      <c r="B417" s="13">
        <f>'Raw Enterprise Billing Data'!B417</f>
        <v/>
      </c>
      <c r="C417" s="13">
        <f>'Raw Enterprise Billing Data'!C417</f>
        <v/>
      </c>
      <c r="D417" s="14">
        <f>'Raw Enterprise Billing Data'!D417</f>
        <v/>
      </c>
      <c r="E417" s="13">
        <f>'Raw Enterprise Billing Data'!E417</f>
        <v/>
      </c>
      <c r="F417" s="14">
        <f>'Raw Enterprise Billing Data'!F417</f>
        <v/>
      </c>
      <c r="G417" s="15">
        <f>'Raw Enterprise Billing Data'!H417</f>
        <v/>
      </c>
      <c r="H417" s="13">
        <f>IF(COUNTIF($A$5:$A$499, A417)&gt;1, "⚠️ DUPLICATE", "UNIQUE")</f>
        <v/>
      </c>
      <c r="I417" s="14">
        <f>IF(OR(ISBLANK(D417), D417=""), "Unassigned", D417)</f>
        <v/>
      </c>
      <c r="J417" s="13">
        <f>IF(G417&lt;0, "CREDIT / ADJUSTMENT", "STANDARD USAGE")</f>
        <v/>
      </c>
    </row>
    <row r="418">
      <c r="A418" s="13">
        <f>'Raw Enterprise Billing Data'!A418</f>
        <v/>
      </c>
      <c r="B418" s="13">
        <f>'Raw Enterprise Billing Data'!B418</f>
        <v/>
      </c>
      <c r="C418" s="13">
        <f>'Raw Enterprise Billing Data'!C418</f>
        <v/>
      </c>
      <c r="D418" s="14">
        <f>'Raw Enterprise Billing Data'!D418</f>
        <v/>
      </c>
      <c r="E418" s="13">
        <f>'Raw Enterprise Billing Data'!E418</f>
        <v/>
      </c>
      <c r="F418" s="14">
        <f>'Raw Enterprise Billing Data'!F418</f>
        <v/>
      </c>
      <c r="G418" s="15">
        <f>'Raw Enterprise Billing Data'!H418</f>
        <v/>
      </c>
      <c r="H418" s="13">
        <f>IF(COUNTIF($A$5:$A$499, A418)&gt;1, "⚠️ DUPLICATE", "UNIQUE")</f>
        <v/>
      </c>
      <c r="I418" s="14">
        <f>IF(OR(ISBLANK(D418), D418=""), "Unassigned", D418)</f>
        <v/>
      </c>
      <c r="J418" s="13">
        <f>IF(G418&lt;0, "CREDIT / ADJUSTMENT", "STANDARD USAGE")</f>
        <v/>
      </c>
    </row>
    <row r="419">
      <c r="A419" s="13">
        <f>'Raw Enterprise Billing Data'!A419</f>
        <v/>
      </c>
      <c r="B419" s="13">
        <f>'Raw Enterprise Billing Data'!B419</f>
        <v/>
      </c>
      <c r="C419" s="13">
        <f>'Raw Enterprise Billing Data'!C419</f>
        <v/>
      </c>
      <c r="D419" s="14">
        <f>'Raw Enterprise Billing Data'!D419</f>
        <v/>
      </c>
      <c r="E419" s="13">
        <f>'Raw Enterprise Billing Data'!E419</f>
        <v/>
      </c>
      <c r="F419" s="14">
        <f>'Raw Enterprise Billing Data'!F419</f>
        <v/>
      </c>
      <c r="G419" s="15">
        <f>'Raw Enterprise Billing Data'!H419</f>
        <v/>
      </c>
      <c r="H419" s="13">
        <f>IF(COUNTIF($A$5:$A$499, A419)&gt;1, "⚠️ DUPLICATE", "UNIQUE")</f>
        <v/>
      </c>
      <c r="I419" s="14">
        <f>IF(OR(ISBLANK(D419), D419=""), "Unassigned", D419)</f>
        <v/>
      </c>
      <c r="J419" s="13">
        <f>IF(G419&lt;0, "CREDIT / ADJUSTMENT", "STANDARD USAGE")</f>
        <v/>
      </c>
    </row>
    <row r="420">
      <c r="A420" s="13">
        <f>'Raw Enterprise Billing Data'!A420</f>
        <v/>
      </c>
      <c r="B420" s="13">
        <f>'Raw Enterprise Billing Data'!B420</f>
        <v/>
      </c>
      <c r="C420" s="13">
        <f>'Raw Enterprise Billing Data'!C420</f>
        <v/>
      </c>
      <c r="D420" s="14">
        <f>'Raw Enterprise Billing Data'!D420</f>
        <v/>
      </c>
      <c r="E420" s="13">
        <f>'Raw Enterprise Billing Data'!E420</f>
        <v/>
      </c>
      <c r="F420" s="14">
        <f>'Raw Enterprise Billing Data'!F420</f>
        <v/>
      </c>
      <c r="G420" s="15">
        <f>'Raw Enterprise Billing Data'!H420</f>
        <v/>
      </c>
      <c r="H420" s="13">
        <f>IF(COUNTIF($A$5:$A$499, A420)&gt;1, "⚠️ DUPLICATE", "UNIQUE")</f>
        <v/>
      </c>
      <c r="I420" s="14">
        <f>IF(OR(ISBLANK(D420), D420=""), "Unassigned", D420)</f>
        <v/>
      </c>
      <c r="J420" s="13">
        <f>IF(G420&lt;0, "CREDIT / ADJUSTMENT", "STANDARD USAGE")</f>
        <v/>
      </c>
    </row>
    <row r="421">
      <c r="A421" s="13">
        <f>'Raw Enterprise Billing Data'!A421</f>
        <v/>
      </c>
      <c r="B421" s="13">
        <f>'Raw Enterprise Billing Data'!B421</f>
        <v/>
      </c>
      <c r="C421" s="13">
        <f>'Raw Enterprise Billing Data'!C421</f>
        <v/>
      </c>
      <c r="D421" s="14">
        <f>'Raw Enterprise Billing Data'!D421</f>
        <v/>
      </c>
      <c r="E421" s="13">
        <f>'Raw Enterprise Billing Data'!E421</f>
        <v/>
      </c>
      <c r="F421" s="14">
        <f>'Raw Enterprise Billing Data'!F421</f>
        <v/>
      </c>
      <c r="G421" s="15">
        <f>'Raw Enterprise Billing Data'!H421</f>
        <v/>
      </c>
      <c r="H421" s="13">
        <f>IF(COUNTIF($A$5:$A$499, A421)&gt;1, "⚠️ DUPLICATE", "UNIQUE")</f>
        <v/>
      </c>
      <c r="I421" s="14">
        <f>IF(OR(ISBLANK(D421), D421=""), "Unassigned", D421)</f>
        <v/>
      </c>
      <c r="J421" s="13">
        <f>IF(G421&lt;0, "CREDIT / ADJUSTMENT", "STANDARD USAGE")</f>
        <v/>
      </c>
    </row>
    <row r="422">
      <c r="A422" s="13">
        <f>'Raw Enterprise Billing Data'!A422</f>
        <v/>
      </c>
      <c r="B422" s="13">
        <f>'Raw Enterprise Billing Data'!B422</f>
        <v/>
      </c>
      <c r="C422" s="13">
        <f>'Raw Enterprise Billing Data'!C422</f>
        <v/>
      </c>
      <c r="D422" s="14">
        <f>'Raw Enterprise Billing Data'!D422</f>
        <v/>
      </c>
      <c r="E422" s="13">
        <f>'Raw Enterprise Billing Data'!E422</f>
        <v/>
      </c>
      <c r="F422" s="14">
        <f>'Raw Enterprise Billing Data'!F422</f>
        <v/>
      </c>
      <c r="G422" s="15">
        <f>'Raw Enterprise Billing Data'!H422</f>
        <v/>
      </c>
      <c r="H422" s="13">
        <f>IF(COUNTIF($A$5:$A$499, A422)&gt;1, "⚠️ DUPLICATE", "UNIQUE")</f>
        <v/>
      </c>
      <c r="I422" s="14">
        <f>IF(OR(ISBLANK(D422), D422=""), "Unassigned", D422)</f>
        <v/>
      </c>
      <c r="J422" s="13">
        <f>IF(G422&lt;0, "CREDIT / ADJUSTMENT", "STANDARD USAGE")</f>
        <v/>
      </c>
    </row>
    <row r="423">
      <c r="A423" s="13">
        <f>'Raw Enterprise Billing Data'!A423</f>
        <v/>
      </c>
      <c r="B423" s="13">
        <f>'Raw Enterprise Billing Data'!B423</f>
        <v/>
      </c>
      <c r="C423" s="13">
        <f>'Raw Enterprise Billing Data'!C423</f>
        <v/>
      </c>
      <c r="D423" s="14">
        <f>'Raw Enterprise Billing Data'!D423</f>
        <v/>
      </c>
      <c r="E423" s="13">
        <f>'Raw Enterprise Billing Data'!E423</f>
        <v/>
      </c>
      <c r="F423" s="14">
        <f>'Raw Enterprise Billing Data'!F423</f>
        <v/>
      </c>
      <c r="G423" s="15">
        <f>'Raw Enterprise Billing Data'!H423</f>
        <v/>
      </c>
      <c r="H423" s="13">
        <f>IF(COUNTIF($A$5:$A$499, A423)&gt;1, "⚠️ DUPLICATE", "UNIQUE")</f>
        <v/>
      </c>
      <c r="I423" s="14">
        <f>IF(OR(ISBLANK(D423), D423=""), "Unassigned", D423)</f>
        <v/>
      </c>
      <c r="J423" s="13">
        <f>IF(G423&lt;0, "CREDIT / ADJUSTMENT", "STANDARD USAGE")</f>
        <v/>
      </c>
    </row>
    <row r="424">
      <c r="A424" s="13">
        <f>'Raw Enterprise Billing Data'!A424</f>
        <v/>
      </c>
      <c r="B424" s="13">
        <f>'Raw Enterprise Billing Data'!B424</f>
        <v/>
      </c>
      <c r="C424" s="13">
        <f>'Raw Enterprise Billing Data'!C424</f>
        <v/>
      </c>
      <c r="D424" s="14">
        <f>'Raw Enterprise Billing Data'!D424</f>
        <v/>
      </c>
      <c r="E424" s="13">
        <f>'Raw Enterprise Billing Data'!E424</f>
        <v/>
      </c>
      <c r="F424" s="14">
        <f>'Raw Enterprise Billing Data'!F424</f>
        <v/>
      </c>
      <c r="G424" s="15">
        <f>'Raw Enterprise Billing Data'!H424</f>
        <v/>
      </c>
      <c r="H424" s="13">
        <f>IF(COUNTIF($A$5:$A$499, A424)&gt;1, "⚠️ DUPLICATE", "UNIQUE")</f>
        <v/>
      </c>
      <c r="I424" s="14">
        <f>IF(OR(ISBLANK(D424), D424=""), "Unassigned", D424)</f>
        <v/>
      </c>
      <c r="J424" s="13">
        <f>IF(G424&lt;0, "CREDIT / ADJUSTMENT", "STANDARD USAGE")</f>
        <v/>
      </c>
    </row>
    <row r="425">
      <c r="A425" s="13">
        <f>'Raw Enterprise Billing Data'!A425</f>
        <v/>
      </c>
      <c r="B425" s="13">
        <f>'Raw Enterprise Billing Data'!B425</f>
        <v/>
      </c>
      <c r="C425" s="13">
        <f>'Raw Enterprise Billing Data'!C425</f>
        <v/>
      </c>
      <c r="D425" s="14">
        <f>'Raw Enterprise Billing Data'!D425</f>
        <v/>
      </c>
      <c r="E425" s="13">
        <f>'Raw Enterprise Billing Data'!E425</f>
        <v/>
      </c>
      <c r="F425" s="14">
        <f>'Raw Enterprise Billing Data'!F425</f>
        <v/>
      </c>
      <c r="G425" s="15">
        <f>'Raw Enterprise Billing Data'!H425</f>
        <v/>
      </c>
      <c r="H425" s="13">
        <f>IF(COUNTIF($A$5:$A$499, A425)&gt;1, "⚠️ DUPLICATE", "UNIQUE")</f>
        <v/>
      </c>
      <c r="I425" s="14">
        <f>IF(OR(ISBLANK(D425), D425=""), "Unassigned", D425)</f>
        <v/>
      </c>
      <c r="J425" s="13">
        <f>IF(G425&lt;0, "CREDIT / ADJUSTMENT", "STANDARD USAGE")</f>
        <v/>
      </c>
    </row>
    <row r="426">
      <c r="A426" s="13">
        <f>'Raw Enterprise Billing Data'!A426</f>
        <v/>
      </c>
      <c r="B426" s="13">
        <f>'Raw Enterprise Billing Data'!B426</f>
        <v/>
      </c>
      <c r="C426" s="13">
        <f>'Raw Enterprise Billing Data'!C426</f>
        <v/>
      </c>
      <c r="D426" s="14">
        <f>'Raw Enterprise Billing Data'!D426</f>
        <v/>
      </c>
      <c r="E426" s="13">
        <f>'Raw Enterprise Billing Data'!E426</f>
        <v/>
      </c>
      <c r="F426" s="14">
        <f>'Raw Enterprise Billing Data'!F426</f>
        <v/>
      </c>
      <c r="G426" s="15">
        <f>'Raw Enterprise Billing Data'!H426</f>
        <v/>
      </c>
      <c r="H426" s="13">
        <f>IF(COUNTIF($A$5:$A$499, A426)&gt;1, "⚠️ DUPLICATE", "UNIQUE")</f>
        <v/>
      </c>
      <c r="I426" s="14">
        <f>IF(OR(ISBLANK(D426), D426=""), "Unassigned", D426)</f>
        <v/>
      </c>
      <c r="J426" s="13">
        <f>IF(G426&lt;0, "CREDIT / ADJUSTMENT", "STANDARD USAGE")</f>
        <v/>
      </c>
    </row>
    <row r="427">
      <c r="A427" s="13">
        <f>'Raw Enterprise Billing Data'!A427</f>
        <v/>
      </c>
      <c r="B427" s="13">
        <f>'Raw Enterprise Billing Data'!B427</f>
        <v/>
      </c>
      <c r="C427" s="13">
        <f>'Raw Enterprise Billing Data'!C427</f>
        <v/>
      </c>
      <c r="D427" s="14">
        <f>'Raw Enterprise Billing Data'!D427</f>
        <v/>
      </c>
      <c r="E427" s="13">
        <f>'Raw Enterprise Billing Data'!E427</f>
        <v/>
      </c>
      <c r="F427" s="14">
        <f>'Raw Enterprise Billing Data'!F427</f>
        <v/>
      </c>
      <c r="G427" s="15">
        <f>'Raw Enterprise Billing Data'!H427</f>
        <v/>
      </c>
      <c r="H427" s="13">
        <f>IF(COUNTIF($A$5:$A$499, A427)&gt;1, "⚠️ DUPLICATE", "UNIQUE")</f>
        <v/>
      </c>
      <c r="I427" s="14">
        <f>IF(OR(ISBLANK(D427), D427=""), "Unassigned", D427)</f>
        <v/>
      </c>
      <c r="J427" s="13">
        <f>IF(G427&lt;0, "CREDIT / ADJUSTMENT", "STANDARD USAGE")</f>
        <v/>
      </c>
    </row>
    <row r="428">
      <c r="A428" s="13">
        <f>'Raw Enterprise Billing Data'!A428</f>
        <v/>
      </c>
      <c r="B428" s="13">
        <f>'Raw Enterprise Billing Data'!B428</f>
        <v/>
      </c>
      <c r="C428" s="13">
        <f>'Raw Enterprise Billing Data'!C428</f>
        <v/>
      </c>
      <c r="D428" s="14">
        <f>'Raw Enterprise Billing Data'!D428</f>
        <v/>
      </c>
      <c r="E428" s="13">
        <f>'Raw Enterprise Billing Data'!E428</f>
        <v/>
      </c>
      <c r="F428" s="14">
        <f>'Raw Enterprise Billing Data'!F428</f>
        <v/>
      </c>
      <c r="G428" s="15">
        <f>'Raw Enterprise Billing Data'!H428</f>
        <v/>
      </c>
      <c r="H428" s="13">
        <f>IF(COUNTIF($A$5:$A$499, A428)&gt;1, "⚠️ DUPLICATE", "UNIQUE")</f>
        <v/>
      </c>
      <c r="I428" s="14">
        <f>IF(OR(ISBLANK(D428), D428=""), "Unassigned", D428)</f>
        <v/>
      </c>
      <c r="J428" s="13">
        <f>IF(G428&lt;0, "CREDIT / ADJUSTMENT", "STANDARD USAGE")</f>
        <v/>
      </c>
    </row>
    <row r="429">
      <c r="A429" s="13">
        <f>'Raw Enterprise Billing Data'!A429</f>
        <v/>
      </c>
      <c r="B429" s="13">
        <f>'Raw Enterprise Billing Data'!B429</f>
        <v/>
      </c>
      <c r="C429" s="13">
        <f>'Raw Enterprise Billing Data'!C429</f>
        <v/>
      </c>
      <c r="D429" s="14">
        <f>'Raw Enterprise Billing Data'!D429</f>
        <v/>
      </c>
      <c r="E429" s="13">
        <f>'Raw Enterprise Billing Data'!E429</f>
        <v/>
      </c>
      <c r="F429" s="14">
        <f>'Raw Enterprise Billing Data'!F429</f>
        <v/>
      </c>
      <c r="G429" s="15">
        <f>'Raw Enterprise Billing Data'!H429</f>
        <v/>
      </c>
      <c r="H429" s="13">
        <f>IF(COUNTIF($A$5:$A$499, A429)&gt;1, "⚠️ DUPLICATE", "UNIQUE")</f>
        <v/>
      </c>
      <c r="I429" s="14">
        <f>IF(OR(ISBLANK(D429), D429=""), "Unassigned", D429)</f>
        <v/>
      </c>
      <c r="J429" s="13">
        <f>IF(G429&lt;0, "CREDIT / ADJUSTMENT", "STANDARD USAGE")</f>
        <v/>
      </c>
    </row>
    <row r="430">
      <c r="A430" s="13">
        <f>'Raw Enterprise Billing Data'!A430</f>
        <v/>
      </c>
      <c r="B430" s="13">
        <f>'Raw Enterprise Billing Data'!B430</f>
        <v/>
      </c>
      <c r="C430" s="13">
        <f>'Raw Enterprise Billing Data'!C430</f>
        <v/>
      </c>
      <c r="D430" s="14">
        <f>'Raw Enterprise Billing Data'!D430</f>
        <v/>
      </c>
      <c r="E430" s="13">
        <f>'Raw Enterprise Billing Data'!E430</f>
        <v/>
      </c>
      <c r="F430" s="14">
        <f>'Raw Enterprise Billing Data'!F430</f>
        <v/>
      </c>
      <c r="G430" s="15">
        <f>'Raw Enterprise Billing Data'!H430</f>
        <v/>
      </c>
      <c r="H430" s="13">
        <f>IF(COUNTIF($A$5:$A$499, A430)&gt;1, "⚠️ DUPLICATE", "UNIQUE")</f>
        <v/>
      </c>
      <c r="I430" s="14">
        <f>IF(OR(ISBLANK(D430), D430=""), "Unassigned", D430)</f>
        <v/>
      </c>
      <c r="J430" s="13">
        <f>IF(G430&lt;0, "CREDIT / ADJUSTMENT", "STANDARD USAGE")</f>
        <v/>
      </c>
    </row>
    <row r="431">
      <c r="A431" s="13">
        <f>'Raw Enterprise Billing Data'!A431</f>
        <v/>
      </c>
      <c r="B431" s="13">
        <f>'Raw Enterprise Billing Data'!B431</f>
        <v/>
      </c>
      <c r="C431" s="13">
        <f>'Raw Enterprise Billing Data'!C431</f>
        <v/>
      </c>
      <c r="D431" s="14">
        <f>'Raw Enterprise Billing Data'!D431</f>
        <v/>
      </c>
      <c r="E431" s="13">
        <f>'Raw Enterprise Billing Data'!E431</f>
        <v/>
      </c>
      <c r="F431" s="14">
        <f>'Raw Enterprise Billing Data'!F431</f>
        <v/>
      </c>
      <c r="G431" s="15">
        <f>'Raw Enterprise Billing Data'!H431</f>
        <v/>
      </c>
      <c r="H431" s="13">
        <f>IF(COUNTIF($A$5:$A$499, A431)&gt;1, "⚠️ DUPLICATE", "UNIQUE")</f>
        <v/>
      </c>
      <c r="I431" s="14">
        <f>IF(OR(ISBLANK(D431), D431=""), "Unassigned", D431)</f>
        <v/>
      </c>
      <c r="J431" s="13">
        <f>IF(G431&lt;0, "CREDIT / ADJUSTMENT", "STANDARD USAGE")</f>
        <v/>
      </c>
    </row>
    <row r="432">
      <c r="A432" s="13">
        <f>'Raw Enterprise Billing Data'!A432</f>
        <v/>
      </c>
      <c r="B432" s="13">
        <f>'Raw Enterprise Billing Data'!B432</f>
        <v/>
      </c>
      <c r="C432" s="13">
        <f>'Raw Enterprise Billing Data'!C432</f>
        <v/>
      </c>
      <c r="D432" s="14">
        <f>'Raw Enterprise Billing Data'!D432</f>
        <v/>
      </c>
      <c r="E432" s="13">
        <f>'Raw Enterprise Billing Data'!E432</f>
        <v/>
      </c>
      <c r="F432" s="14">
        <f>'Raw Enterprise Billing Data'!F432</f>
        <v/>
      </c>
      <c r="G432" s="15">
        <f>'Raw Enterprise Billing Data'!H432</f>
        <v/>
      </c>
      <c r="H432" s="13">
        <f>IF(COUNTIF($A$5:$A$499, A432)&gt;1, "⚠️ DUPLICATE", "UNIQUE")</f>
        <v/>
      </c>
      <c r="I432" s="14">
        <f>IF(OR(ISBLANK(D432), D432=""), "Unassigned", D432)</f>
        <v/>
      </c>
      <c r="J432" s="13">
        <f>IF(G432&lt;0, "CREDIT / ADJUSTMENT", "STANDARD USAGE")</f>
        <v/>
      </c>
    </row>
    <row r="433">
      <c r="A433" s="13">
        <f>'Raw Enterprise Billing Data'!A433</f>
        <v/>
      </c>
      <c r="B433" s="13">
        <f>'Raw Enterprise Billing Data'!B433</f>
        <v/>
      </c>
      <c r="C433" s="13">
        <f>'Raw Enterprise Billing Data'!C433</f>
        <v/>
      </c>
      <c r="D433" s="14">
        <f>'Raw Enterprise Billing Data'!D433</f>
        <v/>
      </c>
      <c r="E433" s="13">
        <f>'Raw Enterprise Billing Data'!E433</f>
        <v/>
      </c>
      <c r="F433" s="14">
        <f>'Raw Enterprise Billing Data'!F433</f>
        <v/>
      </c>
      <c r="G433" s="15">
        <f>'Raw Enterprise Billing Data'!H433</f>
        <v/>
      </c>
      <c r="H433" s="13">
        <f>IF(COUNTIF($A$5:$A$499, A433)&gt;1, "⚠️ DUPLICATE", "UNIQUE")</f>
        <v/>
      </c>
      <c r="I433" s="14">
        <f>IF(OR(ISBLANK(D433), D433=""), "Unassigned", D433)</f>
        <v/>
      </c>
      <c r="J433" s="13">
        <f>IF(G433&lt;0, "CREDIT / ADJUSTMENT", "STANDARD USAGE")</f>
        <v/>
      </c>
    </row>
    <row r="434">
      <c r="A434" s="13">
        <f>'Raw Enterprise Billing Data'!A434</f>
        <v/>
      </c>
      <c r="B434" s="13">
        <f>'Raw Enterprise Billing Data'!B434</f>
        <v/>
      </c>
      <c r="C434" s="13">
        <f>'Raw Enterprise Billing Data'!C434</f>
        <v/>
      </c>
      <c r="D434" s="14">
        <f>'Raw Enterprise Billing Data'!D434</f>
        <v/>
      </c>
      <c r="E434" s="13">
        <f>'Raw Enterprise Billing Data'!E434</f>
        <v/>
      </c>
      <c r="F434" s="14">
        <f>'Raw Enterprise Billing Data'!F434</f>
        <v/>
      </c>
      <c r="G434" s="15">
        <f>'Raw Enterprise Billing Data'!H434</f>
        <v/>
      </c>
      <c r="H434" s="13">
        <f>IF(COUNTIF($A$5:$A$499, A434)&gt;1, "⚠️ DUPLICATE", "UNIQUE")</f>
        <v/>
      </c>
      <c r="I434" s="14">
        <f>IF(OR(ISBLANK(D434), D434=""), "Unassigned", D434)</f>
        <v/>
      </c>
      <c r="J434" s="13">
        <f>IF(G434&lt;0, "CREDIT / ADJUSTMENT", "STANDARD USAGE")</f>
        <v/>
      </c>
    </row>
    <row r="435">
      <c r="A435" s="13">
        <f>'Raw Enterprise Billing Data'!A435</f>
        <v/>
      </c>
      <c r="B435" s="13">
        <f>'Raw Enterprise Billing Data'!B435</f>
        <v/>
      </c>
      <c r="C435" s="13">
        <f>'Raw Enterprise Billing Data'!C435</f>
        <v/>
      </c>
      <c r="D435" s="14">
        <f>'Raw Enterprise Billing Data'!D435</f>
        <v/>
      </c>
      <c r="E435" s="13">
        <f>'Raw Enterprise Billing Data'!E435</f>
        <v/>
      </c>
      <c r="F435" s="14">
        <f>'Raw Enterprise Billing Data'!F435</f>
        <v/>
      </c>
      <c r="G435" s="15">
        <f>'Raw Enterprise Billing Data'!H435</f>
        <v/>
      </c>
      <c r="H435" s="13">
        <f>IF(COUNTIF($A$5:$A$499, A435)&gt;1, "⚠️ DUPLICATE", "UNIQUE")</f>
        <v/>
      </c>
      <c r="I435" s="14">
        <f>IF(OR(ISBLANK(D435), D435=""), "Unassigned", D435)</f>
        <v/>
      </c>
      <c r="J435" s="13">
        <f>IF(G435&lt;0, "CREDIT / ADJUSTMENT", "STANDARD USAGE")</f>
        <v/>
      </c>
    </row>
    <row r="436">
      <c r="A436" s="13">
        <f>'Raw Enterprise Billing Data'!A436</f>
        <v/>
      </c>
      <c r="B436" s="13">
        <f>'Raw Enterprise Billing Data'!B436</f>
        <v/>
      </c>
      <c r="C436" s="13">
        <f>'Raw Enterprise Billing Data'!C436</f>
        <v/>
      </c>
      <c r="D436" s="14">
        <f>'Raw Enterprise Billing Data'!D436</f>
        <v/>
      </c>
      <c r="E436" s="13">
        <f>'Raw Enterprise Billing Data'!E436</f>
        <v/>
      </c>
      <c r="F436" s="14">
        <f>'Raw Enterprise Billing Data'!F436</f>
        <v/>
      </c>
      <c r="G436" s="15">
        <f>'Raw Enterprise Billing Data'!H436</f>
        <v/>
      </c>
      <c r="H436" s="13">
        <f>IF(COUNTIF($A$5:$A$499, A436)&gt;1, "⚠️ DUPLICATE", "UNIQUE")</f>
        <v/>
      </c>
      <c r="I436" s="14">
        <f>IF(OR(ISBLANK(D436), D436=""), "Unassigned", D436)</f>
        <v/>
      </c>
      <c r="J436" s="13">
        <f>IF(G436&lt;0, "CREDIT / ADJUSTMENT", "STANDARD USAGE")</f>
        <v/>
      </c>
    </row>
    <row r="437">
      <c r="A437" s="13">
        <f>'Raw Enterprise Billing Data'!A437</f>
        <v/>
      </c>
      <c r="B437" s="13">
        <f>'Raw Enterprise Billing Data'!B437</f>
        <v/>
      </c>
      <c r="C437" s="13">
        <f>'Raw Enterprise Billing Data'!C437</f>
        <v/>
      </c>
      <c r="D437" s="14">
        <f>'Raw Enterprise Billing Data'!D437</f>
        <v/>
      </c>
      <c r="E437" s="13">
        <f>'Raw Enterprise Billing Data'!E437</f>
        <v/>
      </c>
      <c r="F437" s="14">
        <f>'Raw Enterprise Billing Data'!F437</f>
        <v/>
      </c>
      <c r="G437" s="15">
        <f>'Raw Enterprise Billing Data'!H437</f>
        <v/>
      </c>
      <c r="H437" s="13">
        <f>IF(COUNTIF($A$5:$A$499, A437)&gt;1, "⚠️ DUPLICATE", "UNIQUE")</f>
        <v/>
      </c>
      <c r="I437" s="14">
        <f>IF(OR(ISBLANK(D437), D437=""), "Unassigned", D437)</f>
        <v/>
      </c>
      <c r="J437" s="13">
        <f>IF(G437&lt;0, "CREDIT / ADJUSTMENT", "STANDARD USAGE")</f>
        <v/>
      </c>
    </row>
    <row r="438">
      <c r="A438" s="13">
        <f>'Raw Enterprise Billing Data'!A438</f>
        <v/>
      </c>
      <c r="B438" s="13">
        <f>'Raw Enterprise Billing Data'!B438</f>
        <v/>
      </c>
      <c r="C438" s="13">
        <f>'Raw Enterprise Billing Data'!C438</f>
        <v/>
      </c>
      <c r="D438" s="14">
        <f>'Raw Enterprise Billing Data'!D438</f>
        <v/>
      </c>
      <c r="E438" s="13">
        <f>'Raw Enterprise Billing Data'!E438</f>
        <v/>
      </c>
      <c r="F438" s="14">
        <f>'Raw Enterprise Billing Data'!F438</f>
        <v/>
      </c>
      <c r="G438" s="15">
        <f>'Raw Enterprise Billing Data'!H438</f>
        <v/>
      </c>
      <c r="H438" s="13">
        <f>IF(COUNTIF($A$5:$A$499, A438)&gt;1, "⚠️ DUPLICATE", "UNIQUE")</f>
        <v/>
      </c>
      <c r="I438" s="14">
        <f>IF(OR(ISBLANK(D438), D438=""), "Unassigned", D438)</f>
        <v/>
      </c>
      <c r="J438" s="13">
        <f>IF(G438&lt;0, "CREDIT / ADJUSTMENT", "STANDARD USAGE")</f>
        <v/>
      </c>
    </row>
    <row r="439">
      <c r="A439" s="13">
        <f>'Raw Enterprise Billing Data'!A439</f>
        <v/>
      </c>
      <c r="B439" s="13">
        <f>'Raw Enterprise Billing Data'!B439</f>
        <v/>
      </c>
      <c r="C439" s="13">
        <f>'Raw Enterprise Billing Data'!C439</f>
        <v/>
      </c>
      <c r="D439" s="14">
        <f>'Raw Enterprise Billing Data'!D439</f>
        <v/>
      </c>
      <c r="E439" s="13">
        <f>'Raw Enterprise Billing Data'!E439</f>
        <v/>
      </c>
      <c r="F439" s="14">
        <f>'Raw Enterprise Billing Data'!F439</f>
        <v/>
      </c>
      <c r="G439" s="15">
        <f>'Raw Enterprise Billing Data'!H439</f>
        <v/>
      </c>
      <c r="H439" s="13">
        <f>IF(COUNTIF($A$5:$A$499, A439)&gt;1, "⚠️ DUPLICATE", "UNIQUE")</f>
        <v/>
      </c>
      <c r="I439" s="14">
        <f>IF(OR(ISBLANK(D439), D439=""), "Unassigned", D439)</f>
        <v/>
      </c>
      <c r="J439" s="13">
        <f>IF(G439&lt;0, "CREDIT / ADJUSTMENT", "STANDARD USAGE")</f>
        <v/>
      </c>
    </row>
    <row r="440">
      <c r="A440" s="13">
        <f>'Raw Enterprise Billing Data'!A440</f>
        <v/>
      </c>
      <c r="B440" s="13">
        <f>'Raw Enterprise Billing Data'!B440</f>
        <v/>
      </c>
      <c r="C440" s="13">
        <f>'Raw Enterprise Billing Data'!C440</f>
        <v/>
      </c>
      <c r="D440" s="14">
        <f>'Raw Enterprise Billing Data'!D440</f>
        <v/>
      </c>
      <c r="E440" s="13">
        <f>'Raw Enterprise Billing Data'!E440</f>
        <v/>
      </c>
      <c r="F440" s="14">
        <f>'Raw Enterprise Billing Data'!F440</f>
        <v/>
      </c>
      <c r="G440" s="15">
        <f>'Raw Enterprise Billing Data'!H440</f>
        <v/>
      </c>
      <c r="H440" s="13">
        <f>IF(COUNTIF($A$5:$A$499, A440)&gt;1, "⚠️ DUPLICATE", "UNIQUE")</f>
        <v/>
      </c>
      <c r="I440" s="14">
        <f>IF(OR(ISBLANK(D440), D440=""), "Unassigned", D440)</f>
        <v/>
      </c>
      <c r="J440" s="13">
        <f>IF(G440&lt;0, "CREDIT / ADJUSTMENT", "STANDARD USAGE")</f>
        <v/>
      </c>
    </row>
    <row r="441">
      <c r="A441" s="13">
        <f>'Raw Enterprise Billing Data'!A441</f>
        <v/>
      </c>
      <c r="B441" s="13">
        <f>'Raw Enterprise Billing Data'!B441</f>
        <v/>
      </c>
      <c r="C441" s="13">
        <f>'Raw Enterprise Billing Data'!C441</f>
        <v/>
      </c>
      <c r="D441" s="14">
        <f>'Raw Enterprise Billing Data'!D441</f>
        <v/>
      </c>
      <c r="E441" s="13">
        <f>'Raw Enterprise Billing Data'!E441</f>
        <v/>
      </c>
      <c r="F441" s="14">
        <f>'Raw Enterprise Billing Data'!F441</f>
        <v/>
      </c>
      <c r="G441" s="15">
        <f>'Raw Enterprise Billing Data'!H441</f>
        <v/>
      </c>
      <c r="H441" s="13">
        <f>IF(COUNTIF($A$5:$A$499, A441)&gt;1, "⚠️ DUPLICATE", "UNIQUE")</f>
        <v/>
      </c>
      <c r="I441" s="14">
        <f>IF(OR(ISBLANK(D441), D441=""), "Unassigned", D441)</f>
        <v/>
      </c>
      <c r="J441" s="13">
        <f>IF(G441&lt;0, "CREDIT / ADJUSTMENT", "STANDARD USAGE")</f>
        <v/>
      </c>
    </row>
    <row r="442">
      <c r="A442" s="13">
        <f>'Raw Enterprise Billing Data'!A442</f>
        <v/>
      </c>
      <c r="B442" s="13">
        <f>'Raw Enterprise Billing Data'!B442</f>
        <v/>
      </c>
      <c r="C442" s="13">
        <f>'Raw Enterprise Billing Data'!C442</f>
        <v/>
      </c>
      <c r="D442" s="14">
        <f>'Raw Enterprise Billing Data'!D442</f>
        <v/>
      </c>
      <c r="E442" s="13">
        <f>'Raw Enterprise Billing Data'!E442</f>
        <v/>
      </c>
      <c r="F442" s="14">
        <f>'Raw Enterprise Billing Data'!F442</f>
        <v/>
      </c>
      <c r="G442" s="15">
        <f>'Raw Enterprise Billing Data'!H442</f>
        <v/>
      </c>
      <c r="H442" s="13">
        <f>IF(COUNTIF($A$5:$A$499, A442)&gt;1, "⚠️ DUPLICATE", "UNIQUE")</f>
        <v/>
      </c>
      <c r="I442" s="14">
        <f>IF(OR(ISBLANK(D442), D442=""), "Unassigned", D442)</f>
        <v/>
      </c>
      <c r="J442" s="13">
        <f>IF(G442&lt;0, "CREDIT / ADJUSTMENT", "STANDARD USAGE")</f>
        <v/>
      </c>
    </row>
    <row r="443">
      <c r="A443" s="13">
        <f>'Raw Enterprise Billing Data'!A443</f>
        <v/>
      </c>
      <c r="B443" s="13">
        <f>'Raw Enterprise Billing Data'!B443</f>
        <v/>
      </c>
      <c r="C443" s="13">
        <f>'Raw Enterprise Billing Data'!C443</f>
        <v/>
      </c>
      <c r="D443" s="14">
        <f>'Raw Enterprise Billing Data'!D443</f>
        <v/>
      </c>
      <c r="E443" s="13">
        <f>'Raw Enterprise Billing Data'!E443</f>
        <v/>
      </c>
      <c r="F443" s="14">
        <f>'Raw Enterprise Billing Data'!F443</f>
        <v/>
      </c>
      <c r="G443" s="15">
        <f>'Raw Enterprise Billing Data'!H443</f>
        <v/>
      </c>
      <c r="H443" s="13">
        <f>IF(COUNTIF($A$5:$A$499, A443)&gt;1, "⚠️ DUPLICATE", "UNIQUE")</f>
        <v/>
      </c>
      <c r="I443" s="14">
        <f>IF(OR(ISBLANK(D443), D443=""), "Unassigned", D443)</f>
        <v/>
      </c>
      <c r="J443" s="13">
        <f>IF(G443&lt;0, "CREDIT / ADJUSTMENT", "STANDARD USAGE")</f>
        <v/>
      </c>
    </row>
    <row r="444">
      <c r="A444" s="13">
        <f>'Raw Enterprise Billing Data'!A444</f>
        <v/>
      </c>
      <c r="B444" s="13">
        <f>'Raw Enterprise Billing Data'!B444</f>
        <v/>
      </c>
      <c r="C444" s="13">
        <f>'Raw Enterprise Billing Data'!C444</f>
        <v/>
      </c>
      <c r="D444" s="14">
        <f>'Raw Enterprise Billing Data'!D444</f>
        <v/>
      </c>
      <c r="E444" s="13">
        <f>'Raw Enterprise Billing Data'!E444</f>
        <v/>
      </c>
      <c r="F444" s="14">
        <f>'Raw Enterprise Billing Data'!F444</f>
        <v/>
      </c>
      <c r="G444" s="15">
        <f>'Raw Enterprise Billing Data'!H444</f>
        <v/>
      </c>
      <c r="H444" s="13">
        <f>IF(COUNTIF($A$5:$A$499, A444)&gt;1, "⚠️ DUPLICATE", "UNIQUE")</f>
        <v/>
      </c>
      <c r="I444" s="14">
        <f>IF(OR(ISBLANK(D444), D444=""), "Unassigned", D444)</f>
        <v/>
      </c>
      <c r="J444" s="13">
        <f>IF(G444&lt;0, "CREDIT / ADJUSTMENT", "STANDARD USAGE")</f>
        <v/>
      </c>
    </row>
    <row r="445">
      <c r="A445" s="13">
        <f>'Raw Enterprise Billing Data'!A445</f>
        <v/>
      </c>
      <c r="B445" s="13">
        <f>'Raw Enterprise Billing Data'!B445</f>
        <v/>
      </c>
      <c r="C445" s="13">
        <f>'Raw Enterprise Billing Data'!C445</f>
        <v/>
      </c>
      <c r="D445" s="14">
        <f>'Raw Enterprise Billing Data'!D445</f>
        <v/>
      </c>
      <c r="E445" s="13">
        <f>'Raw Enterprise Billing Data'!E445</f>
        <v/>
      </c>
      <c r="F445" s="14">
        <f>'Raw Enterprise Billing Data'!F445</f>
        <v/>
      </c>
      <c r="G445" s="15">
        <f>'Raw Enterprise Billing Data'!H445</f>
        <v/>
      </c>
      <c r="H445" s="13">
        <f>IF(COUNTIF($A$5:$A$499, A445)&gt;1, "⚠️ DUPLICATE", "UNIQUE")</f>
        <v/>
      </c>
      <c r="I445" s="14">
        <f>IF(OR(ISBLANK(D445), D445=""), "Unassigned", D445)</f>
        <v/>
      </c>
      <c r="J445" s="13">
        <f>IF(G445&lt;0, "CREDIT / ADJUSTMENT", "STANDARD USAGE")</f>
        <v/>
      </c>
    </row>
    <row r="446">
      <c r="A446" s="13">
        <f>'Raw Enterprise Billing Data'!A446</f>
        <v/>
      </c>
      <c r="B446" s="13">
        <f>'Raw Enterprise Billing Data'!B446</f>
        <v/>
      </c>
      <c r="C446" s="13">
        <f>'Raw Enterprise Billing Data'!C446</f>
        <v/>
      </c>
      <c r="D446" s="14">
        <f>'Raw Enterprise Billing Data'!D446</f>
        <v/>
      </c>
      <c r="E446" s="13">
        <f>'Raw Enterprise Billing Data'!E446</f>
        <v/>
      </c>
      <c r="F446" s="14">
        <f>'Raw Enterprise Billing Data'!F446</f>
        <v/>
      </c>
      <c r="G446" s="15">
        <f>'Raw Enterprise Billing Data'!H446</f>
        <v/>
      </c>
      <c r="H446" s="13">
        <f>IF(COUNTIF($A$5:$A$499, A446)&gt;1, "⚠️ DUPLICATE", "UNIQUE")</f>
        <v/>
      </c>
      <c r="I446" s="14">
        <f>IF(OR(ISBLANK(D446), D446=""), "Unassigned", D446)</f>
        <v/>
      </c>
      <c r="J446" s="13">
        <f>IF(G446&lt;0, "CREDIT / ADJUSTMENT", "STANDARD USAGE")</f>
        <v/>
      </c>
    </row>
    <row r="447">
      <c r="A447" s="13">
        <f>'Raw Enterprise Billing Data'!A447</f>
        <v/>
      </c>
      <c r="B447" s="13">
        <f>'Raw Enterprise Billing Data'!B447</f>
        <v/>
      </c>
      <c r="C447" s="13">
        <f>'Raw Enterprise Billing Data'!C447</f>
        <v/>
      </c>
      <c r="D447" s="14">
        <f>'Raw Enterprise Billing Data'!D447</f>
        <v/>
      </c>
      <c r="E447" s="13">
        <f>'Raw Enterprise Billing Data'!E447</f>
        <v/>
      </c>
      <c r="F447" s="14">
        <f>'Raw Enterprise Billing Data'!F447</f>
        <v/>
      </c>
      <c r="G447" s="15">
        <f>'Raw Enterprise Billing Data'!H447</f>
        <v/>
      </c>
      <c r="H447" s="13">
        <f>IF(COUNTIF($A$5:$A$499, A447)&gt;1, "⚠️ DUPLICATE", "UNIQUE")</f>
        <v/>
      </c>
      <c r="I447" s="14">
        <f>IF(OR(ISBLANK(D447), D447=""), "Unassigned", D447)</f>
        <v/>
      </c>
      <c r="J447" s="13">
        <f>IF(G447&lt;0, "CREDIT / ADJUSTMENT", "STANDARD USAGE")</f>
        <v/>
      </c>
    </row>
    <row r="448">
      <c r="A448" s="13">
        <f>'Raw Enterprise Billing Data'!A448</f>
        <v/>
      </c>
      <c r="B448" s="13">
        <f>'Raw Enterprise Billing Data'!B448</f>
        <v/>
      </c>
      <c r="C448" s="13">
        <f>'Raw Enterprise Billing Data'!C448</f>
        <v/>
      </c>
      <c r="D448" s="14">
        <f>'Raw Enterprise Billing Data'!D448</f>
        <v/>
      </c>
      <c r="E448" s="13">
        <f>'Raw Enterprise Billing Data'!E448</f>
        <v/>
      </c>
      <c r="F448" s="14">
        <f>'Raw Enterprise Billing Data'!F448</f>
        <v/>
      </c>
      <c r="G448" s="15">
        <f>'Raw Enterprise Billing Data'!H448</f>
        <v/>
      </c>
      <c r="H448" s="13">
        <f>IF(COUNTIF($A$5:$A$499, A448)&gt;1, "⚠️ DUPLICATE", "UNIQUE")</f>
        <v/>
      </c>
      <c r="I448" s="14">
        <f>IF(OR(ISBLANK(D448), D448=""), "Unassigned", D448)</f>
        <v/>
      </c>
      <c r="J448" s="13">
        <f>IF(G448&lt;0, "CREDIT / ADJUSTMENT", "STANDARD USAGE")</f>
        <v/>
      </c>
    </row>
    <row r="449">
      <c r="A449" s="13">
        <f>'Raw Enterprise Billing Data'!A449</f>
        <v/>
      </c>
      <c r="B449" s="13">
        <f>'Raw Enterprise Billing Data'!B449</f>
        <v/>
      </c>
      <c r="C449" s="13">
        <f>'Raw Enterprise Billing Data'!C449</f>
        <v/>
      </c>
      <c r="D449" s="14">
        <f>'Raw Enterprise Billing Data'!D449</f>
        <v/>
      </c>
      <c r="E449" s="13">
        <f>'Raw Enterprise Billing Data'!E449</f>
        <v/>
      </c>
      <c r="F449" s="14">
        <f>'Raw Enterprise Billing Data'!F449</f>
        <v/>
      </c>
      <c r="G449" s="15">
        <f>'Raw Enterprise Billing Data'!H449</f>
        <v/>
      </c>
      <c r="H449" s="13">
        <f>IF(COUNTIF($A$5:$A$499, A449)&gt;1, "⚠️ DUPLICATE", "UNIQUE")</f>
        <v/>
      </c>
      <c r="I449" s="14">
        <f>IF(OR(ISBLANK(D449), D449=""), "Unassigned", D449)</f>
        <v/>
      </c>
      <c r="J449" s="13">
        <f>IF(G449&lt;0, "CREDIT / ADJUSTMENT", "STANDARD USAGE")</f>
        <v/>
      </c>
    </row>
    <row r="450">
      <c r="A450" s="13">
        <f>'Raw Enterprise Billing Data'!A450</f>
        <v/>
      </c>
      <c r="B450" s="13">
        <f>'Raw Enterprise Billing Data'!B450</f>
        <v/>
      </c>
      <c r="C450" s="13">
        <f>'Raw Enterprise Billing Data'!C450</f>
        <v/>
      </c>
      <c r="D450" s="14">
        <f>'Raw Enterprise Billing Data'!D450</f>
        <v/>
      </c>
      <c r="E450" s="13">
        <f>'Raw Enterprise Billing Data'!E450</f>
        <v/>
      </c>
      <c r="F450" s="14">
        <f>'Raw Enterprise Billing Data'!F450</f>
        <v/>
      </c>
      <c r="G450" s="15">
        <f>'Raw Enterprise Billing Data'!H450</f>
        <v/>
      </c>
      <c r="H450" s="13">
        <f>IF(COUNTIF($A$5:$A$499, A450)&gt;1, "⚠️ DUPLICATE", "UNIQUE")</f>
        <v/>
      </c>
      <c r="I450" s="14">
        <f>IF(OR(ISBLANK(D450), D450=""), "Unassigned", D450)</f>
        <v/>
      </c>
      <c r="J450" s="13">
        <f>IF(G450&lt;0, "CREDIT / ADJUSTMENT", "STANDARD USAGE")</f>
        <v/>
      </c>
    </row>
    <row r="451">
      <c r="A451" s="13">
        <f>'Raw Enterprise Billing Data'!A451</f>
        <v/>
      </c>
      <c r="B451" s="13">
        <f>'Raw Enterprise Billing Data'!B451</f>
        <v/>
      </c>
      <c r="C451" s="13">
        <f>'Raw Enterprise Billing Data'!C451</f>
        <v/>
      </c>
      <c r="D451" s="14">
        <f>'Raw Enterprise Billing Data'!D451</f>
        <v/>
      </c>
      <c r="E451" s="13">
        <f>'Raw Enterprise Billing Data'!E451</f>
        <v/>
      </c>
      <c r="F451" s="14">
        <f>'Raw Enterprise Billing Data'!F451</f>
        <v/>
      </c>
      <c r="G451" s="15">
        <f>'Raw Enterprise Billing Data'!H451</f>
        <v/>
      </c>
      <c r="H451" s="13">
        <f>IF(COUNTIF($A$5:$A$499, A451)&gt;1, "⚠️ DUPLICATE", "UNIQUE")</f>
        <v/>
      </c>
      <c r="I451" s="14">
        <f>IF(OR(ISBLANK(D451), D451=""), "Unassigned", D451)</f>
        <v/>
      </c>
      <c r="J451" s="13">
        <f>IF(G451&lt;0, "CREDIT / ADJUSTMENT", "STANDARD USAGE")</f>
        <v/>
      </c>
    </row>
    <row r="452">
      <c r="A452" s="13">
        <f>'Raw Enterprise Billing Data'!A452</f>
        <v/>
      </c>
      <c r="B452" s="13">
        <f>'Raw Enterprise Billing Data'!B452</f>
        <v/>
      </c>
      <c r="C452" s="13">
        <f>'Raw Enterprise Billing Data'!C452</f>
        <v/>
      </c>
      <c r="D452" s="14">
        <f>'Raw Enterprise Billing Data'!D452</f>
        <v/>
      </c>
      <c r="E452" s="13">
        <f>'Raw Enterprise Billing Data'!E452</f>
        <v/>
      </c>
      <c r="F452" s="14">
        <f>'Raw Enterprise Billing Data'!F452</f>
        <v/>
      </c>
      <c r="G452" s="15">
        <f>'Raw Enterprise Billing Data'!H452</f>
        <v/>
      </c>
      <c r="H452" s="13">
        <f>IF(COUNTIF($A$5:$A$499, A452)&gt;1, "⚠️ DUPLICATE", "UNIQUE")</f>
        <v/>
      </c>
      <c r="I452" s="14">
        <f>IF(OR(ISBLANK(D452), D452=""), "Unassigned", D452)</f>
        <v/>
      </c>
      <c r="J452" s="13">
        <f>IF(G452&lt;0, "CREDIT / ADJUSTMENT", "STANDARD USAGE")</f>
        <v/>
      </c>
    </row>
    <row r="453">
      <c r="A453" s="13">
        <f>'Raw Enterprise Billing Data'!A453</f>
        <v/>
      </c>
      <c r="B453" s="13">
        <f>'Raw Enterprise Billing Data'!B453</f>
        <v/>
      </c>
      <c r="C453" s="13">
        <f>'Raw Enterprise Billing Data'!C453</f>
        <v/>
      </c>
      <c r="D453" s="14">
        <f>'Raw Enterprise Billing Data'!D453</f>
        <v/>
      </c>
      <c r="E453" s="13">
        <f>'Raw Enterprise Billing Data'!E453</f>
        <v/>
      </c>
      <c r="F453" s="14">
        <f>'Raw Enterprise Billing Data'!F453</f>
        <v/>
      </c>
      <c r="G453" s="15">
        <f>'Raw Enterprise Billing Data'!H453</f>
        <v/>
      </c>
      <c r="H453" s="13">
        <f>IF(COUNTIF($A$5:$A$499, A453)&gt;1, "⚠️ DUPLICATE", "UNIQUE")</f>
        <v/>
      </c>
      <c r="I453" s="14">
        <f>IF(OR(ISBLANK(D453), D453=""), "Unassigned", D453)</f>
        <v/>
      </c>
      <c r="J453" s="13">
        <f>IF(G453&lt;0, "CREDIT / ADJUSTMENT", "STANDARD USAGE")</f>
        <v/>
      </c>
    </row>
    <row r="454">
      <c r="A454" s="13">
        <f>'Raw Enterprise Billing Data'!A454</f>
        <v/>
      </c>
      <c r="B454" s="13">
        <f>'Raw Enterprise Billing Data'!B454</f>
        <v/>
      </c>
      <c r="C454" s="13">
        <f>'Raw Enterprise Billing Data'!C454</f>
        <v/>
      </c>
      <c r="D454" s="14">
        <f>'Raw Enterprise Billing Data'!D454</f>
        <v/>
      </c>
      <c r="E454" s="13">
        <f>'Raw Enterprise Billing Data'!E454</f>
        <v/>
      </c>
      <c r="F454" s="14">
        <f>'Raw Enterprise Billing Data'!F454</f>
        <v/>
      </c>
      <c r="G454" s="15">
        <f>'Raw Enterprise Billing Data'!H454</f>
        <v/>
      </c>
      <c r="H454" s="13">
        <f>IF(COUNTIF($A$5:$A$499, A454)&gt;1, "⚠️ DUPLICATE", "UNIQUE")</f>
        <v/>
      </c>
      <c r="I454" s="14">
        <f>IF(OR(ISBLANK(D454), D454=""), "Unassigned", D454)</f>
        <v/>
      </c>
      <c r="J454" s="13">
        <f>IF(G454&lt;0, "CREDIT / ADJUSTMENT", "STANDARD USAGE")</f>
        <v/>
      </c>
    </row>
    <row r="455">
      <c r="A455" s="13">
        <f>'Raw Enterprise Billing Data'!A455</f>
        <v/>
      </c>
      <c r="B455" s="13">
        <f>'Raw Enterprise Billing Data'!B455</f>
        <v/>
      </c>
      <c r="C455" s="13">
        <f>'Raw Enterprise Billing Data'!C455</f>
        <v/>
      </c>
      <c r="D455" s="14">
        <f>'Raw Enterprise Billing Data'!D455</f>
        <v/>
      </c>
      <c r="E455" s="13">
        <f>'Raw Enterprise Billing Data'!E455</f>
        <v/>
      </c>
      <c r="F455" s="14">
        <f>'Raw Enterprise Billing Data'!F455</f>
        <v/>
      </c>
      <c r="G455" s="15">
        <f>'Raw Enterprise Billing Data'!H455</f>
        <v/>
      </c>
      <c r="H455" s="13">
        <f>IF(COUNTIF($A$5:$A$499, A455)&gt;1, "⚠️ DUPLICATE", "UNIQUE")</f>
        <v/>
      </c>
      <c r="I455" s="14">
        <f>IF(OR(ISBLANK(D455), D455=""), "Unassigned", D455)</f>
        <v/>
      </c>
      <c r="J455" s="13">
        <f>IF(G455&lt;0, "CREDIT / ADJUSTMENT", "STANDARD USAGE")</f>
        <v/>
      </c>
    </row>
    <row r="456">
      <c r="A456" s="13">
        <f>'Raw Enterprise Billing Data'!A456</f>
        <v/>
      </c>
      <c r="B456" s="13">
        <f>'Raw Enterprise Billing Data'!B456</f>
        <v/>
      </c>
      <c r="C456" s="13">
        <f>'Raw Enterprise Billing Data'!C456</f>
        <v/>
      </c>
      <c r="D456" s="14">
        <f>'Raw Enterprise Billing Data'!D456</f>
        <v/>
      </c>
      <c r="E456" s="13">
        <f>'Raw Enterprise Billing Data'!E456</f>
        <v/>
      </c>
      <c r="F456" s="14">
        <f>'Raw Enterprise Billing Data'!F456</f>
        <v/>
      </c>
      <c r="G456" s="15">
        <f>'Raw Enterprise Billing Data'!H456</f>
        <v/>
      </c>
      <c r="H456" s="13">
        <f>IF(COUNTIF($A$5:$A$499, A456)&gt;1, "⚠️ DUPLICATE", "UNIQUE")</f>
        <v/>
      </c>
      <c r="I456" s="14">
        <f>IF(OR(ISBLANK(D456), D456=""), "Unassigned", D456)</f>
        <v/>
      </c>
      <c r="J456" s="13">
        <f>IF(G456&lt;0, "CREDIT / ADJUSTMENT", "STANDARD USAGE")</f>
        <v/>
      </c>
    </row>
    <row r="457">
      <c r="A457" s="13">
        <f>'Raw Enterprise Billing Data'!A457</f>
        <v/>
      </c>
      <c r="B457" s="13">
        <f>'Raw Enterprise Billing Data'!B457</f>
        <v/>
      </c>
      <c r="C457" s="13">
        <f>'Raw Enterprise Billing Data'!C457</f>
        <v/>
      </c>
      <c r="D457" s="14">
        <f>'Raw Enterprise Billing Data'!D457</f>
        <v/>
      </c>
      <c r="E457" s="13">
        <f>'Raw Enterprise Billing Data'!E457</f>
        <v/>
      </c>
      <c r="F457" s="14">
        <f>'Raw Enterprise Billing Data'!F457</f>
        <v/>
      </c>
      <c r="G457" s="15">
        <f>'Raw Enterprise Billing Data'!H457</f>
        <v/>
      </c>
      <c r="H457" s="13">
        <f>IF(COUNTIF($A$5:$A$499, A457)&gt;1, "⚠️ DUPLICATE", "UNIQUE")</f>
        <v/>
      </c>
      <c r="I457" s="14">
        <f>IF(OR(ISBLANK(D457), D457=""), "Unassigned", D457)</f>
        <v/>
      </c>
      <c r="J457" s="13">
        <f>IF(G457&lt;0, "CREDIT / ADJUSTMENT", "STANDARD USAGE")</f>
        <v/>
      </c>
    </row>
    <row r="458">
      <c r="A458" s="13">
        <f>'Raw Enterprise Billing Data'!A458</f>
        <v/>
      </c>
      <c r="B458" s="13">
        <f>'Raw Enterprise Billing Data'!B458</f>
        <v/>
      </c>
      <c r="C458" s="13">
        <f>'Raw Enterprise Billing Data'!C458</f>
        <v/>
      </c>
      <c r="D458" s="14">
        <f>'Raw Enterprise Billing Data'!D458</f>
        <v/>
      </c>
      <c r="E458" s="13">
        <f>'Raw Enterprise Billing Data'!E458</f>
        <v/>
      </c>
      <c r="F458" s="14">
        <f>'Raw Enterprise Billing Data'!F458</f>
        <v/>
      </c>
      <c r="G458" s="15">
        <f>'Raw Enterprise Billing Data'!H458</f>
        <v/>
      </c>
      <c r="H458" s="13">
        <f>IF(COUNTIF($A$5:$A$499, A458)&gt;1, "⚠️ DUPLICATE", "UNIQUE")</f>
        <v/>
      </c>
      <c r="I458" s="14">
        <f>IF(OR(ISBLANK(D458), D458=""), "Unassigned", D458)</f>
        <v/>
      </c>
      <c r="J458" s="13">
        <f>IF(G458&lt;0, "CREDIT / ADJUSTMENT", "STANDARD USAGE")</f>
        <v/>
      </c>
    </row>
    <row r="459">
      <c r="A459" s="13">
        <f>'Raw Enterprise Billing Data'!A459</f>
        <v/>
      </c>
      <c r="B459" s="13">
        <f>'Raw Enterprise Billing Data'!B459</f>
        <v/>
      </c>
      <c r="C459" s="13">
        <f>'Raw Enterprise Billing Data'!C459</f>
        <v/>
      </c>
      <c r="D459" s="14">
        <f>'Raw Enterprise Billing Data'!D459</f>
        <v/>
      </c>
      <c r="E459" s="13">
        <f>'Raw Enterprise Billing Data'!E459</f>
        <v/>
      </c>
      <c r="F459" s="14">
        <f>'Raw Enterprise Billing Data'!F459</f>
        <v/>
      </c>
      <c r="G459" s="15">
        <f>'Raw Enterprise Billing Data'!H459</f>
        <v/>
      </c>
      <c r="H459" s="13">
        <f>IF(COUNTIF($A$5:$A$499, A459)&gt;1, "⚠️ DUPLICATE", "UNIQUE")</f>
        <v/>
      </c>
      <c r="I459" s="14">
        <f>IF(OR(ISBLANK(D459), D459=""), "Unassigned", D459)</f>
        <v/>
      </c>
      <c r="J459" s="13">
        <f>IF(G459&lt;0, "CREDIT / ADJUSTMENT", "STANDARD USAGE")</f>
        <v/>
      </c>
    </row>
    <row r="460">
      <c r="A460" s="13">
        <f>'Raw Enterprise Billing Data'!A460</f>
        <v/>
      </c>
      <c r="B460" s="13">
        <f>'Raw Enterprise Billing Data'!B460</f>
        <v/>
      </c>
      <c r="C460" s="13">
        <f>'Raw Enterprise Billing Data'!C460</f>
        <v/>
      </c>
      <c r="D460" s="14">
        <f>'Raw Enterprise Billing Data'!D460</f>
        <v/>
      </c>
      <c r="E460" s="13">
        <f>'Raw Enterprise Billing Data'!E460</f>
        <v/>
      </c>
      <c r="F460" s="14">
        <f>'Raw Enterprise Billing Data'!F460</f>
        <v/>
      </c>
      <c r="G460" s="15">
        <f>'Raw Enterprise Billing Data'!H460</f>
        <v/>
      </c>
      <c r="H460" s="13">
        <f>IF(COUNTIF($A$5:$A$499, A460)&gt;1, "⚠️ DUPLICATE", "UNIQUE")</f>
        <v/>
      </c>
      <c r="I460" s="14">
        <f>IF(OR(ISBLANK(D460), D460=""), "Unassigned", D460)</f>
        <v/>
      </c>
      <c r="J460" s="13">
        <f>IF(G460&lt;0, "CREDIT / ADJUSTMENT", "STANDARD USAGE")</f>
        <v/>
      </c>
    </row>
    <row r="461">
      <c r="A461" s="13">
        <f>'Raw Enterprise Billing Data'!A461</f>
        <v/>
      </c>
      <c r="B461" s="13">
        <f>'Raw Enterprise Billing Data'!B461</f>
        <v/>
      </c>
      <c r="C461" s="13">
        <f>'Raw Enterprise Billing Data'!C461</f>
        <v/>
      </c>
      <c r="D461" s="14">
        <f>'Raw Enterprise Billing Data'!D461</f>
        <v/>
      </c>
      <c r="E461" s="13">
        <f>'Raw Enterprise Billing Data'!E461</f>
        <v/>
      </c>
      <c r="F461" s="14">
        <f>'Raw Enterprise Billing Data'!F461</f>
        <v/>
      </c>
      <c r="G461" s="15">
        <f>'Raw Enterprise Billing Data'!H461</f>
        <v/>
      </c>
      <c r="H461" s="13">
        <f>IF(COUNTIF($A$5:$A$499, A461)&gt;1, "⚠️ DUPLICATE", "UNIQUE")</f>
        <v/>
      </c>
      <c r="I461" s="14">
        <f>IF(OR(ISBLANK(D461), D461=""), "Unassigned", D461)</f>
        <v/>
      </c>
      <c r="J461" s="13">
        <f>IF(G461&lt;0, "CREDIT / ADJUSTMENT", "STANDARD USAGE")</f>
        <v/>
      </c>
    </row>
    <row r="462">
      <c r="A462" s="13">
        <f>'Raw Enterprise Billing Data'!A462</f>
        <v/>
      </c>
      <c r="B462" s="13">
        <f>'Raw Enterprise Billing Data'!B462</f>
        <v/>
      </c>
      <c r="C462" s="13">
        <f>'Raw Enterprise Billing Data'!C462</f>
        <v/>
      </c>
      <c r="D462" s="14">
        <f>'Raw Enterprise Billing Data'!D462</f>
        <v/>
      </c>
      <c r="E462" s="13">
        <f>'Raw Enterprise Billing Data'!E462</f>
        <v/>
      </c>
      <c r="F462" s="14">
        <f>'Raw Enterprise Billing Data'!F462</f>
        <v/>
      </c>
      <c r="G462" s="15">
        <f>'Raw Enterprise Billing Data'!H462</f>
        <v/>
      </c>
      <c r="H462" s="13">
        <f>IF(COUNTIF($A$5:$A$499, A462)&gt;1, "⚠️ DUPLICATE", "UNIQUE")</f>
        <v/>
      </c>
      <c r="I462" s="14">
        <f>IF(OR(ISBLANK(D462), D462=""), "Unassigned", D462)</f>
        <v/>
      </c>
      <c r="J462" s="13">
        <f>IF(G462&lt;0, "CREDIT / ADJUSTMENT", "STANDARD USAGE")</f>
        <v/>
      </c>
    </row>
    <row r="463">
      <c r="A463" s="13">
        <f>'Raw Enterprise Billing Data'!A463</f>
        <v/>
      </c>
      <c r="B463" s="13">
        <f>'Raw Enterprise Billing Data'!B463</f>
        <v/>
      </c>
      <c r="C463" s="13">
        <f>'Raw Enterprise Billing Data'!C463</f>
        <v/>
      </c>
      <c r="D463" s="14">
        <f>'Raw Enterprise Billing Data'!D463</f>
        <v/>
      </c>
      <c r="E463" s="13">
        <f>'Raw Enterprise Billing Data'!E463</f>
        <v/>
      </c>
      <c r="F463" s="14">
        <f>'Raw Enterprise Billing Data'!F463</f>
        <v/>
      </c>
      <c r="G463" s="15">
        <f>'Raw Enterprise Billing Data'!H463</f>
        <v/>
      </c>
      <c r="H463" s="13">
        <f>IF(COUNTIF($A$5:$A$499, A463)&gt;1, "⚠️ DUPLICATE", "UNIQUE")</f>
        <v/>
      </c>
      <c r="I463" s="14">
        <f>IF(OR(ISBLANK(D463), D463=""), "Unassigned", D463)</f>
        <v/>
      </c>
      <c r="J463" s="13">
        <f>IF(G463&lt;0, "CREDIT / ADJUSTMENT", "STANDARD USAGE")</f>
        <v/>
      </c>
    </row>
    <row r="464">
      <c r="A464" s="13">
        <f>'Raw Enterprise Billing Data'!A464</f>
        <v/>
      </c>
      <c r="B464" s="13">
        <f>'Raw Enterprise Billing Data'!B464</f>
        <v/>
      </c>
      <c r="C464" s="13">
        <f>'Raw Enterprise Billing Data'!C464</f>
        <v/>
      </c>
      <c r="D464" s="14">
        <f>'Raw Enterprise Billing Data'!D464</f>
        <v/>
      </c>
      <c r="E464" s="13">
        <f>'Raw Enterprise Billing Data'!E464</f>
        <v/>
      </c>
      <c r="F464" s="14">
        <f>'Raw Enterprise Billing Data'!F464</f>
        <v/>
      </c>
      <c r="G464" s="15">
        <f>'Raw Enterprise Billing Data'!H464</f>
        <v/>
      </c>
      <c r="H464" s="13">
        <f>IF(COUNTIF($A$5:$A$499, A464)&gt;1, "⚠️ DUPLICATE", "UNIQUE")</f>
        <v/>
      </c>
      <c r="I464" s="14">
        <f>IF(OR(ISBLANK(D464), D464=""), "Unassigned", D464)</f>
        <v/>
      </c>
      <c r="J464" s="13">
        <f>IF(G464&lt;0, "CREDIT / ADJUSTMENT", "STANDARD USAGE")</f>
        <v/>
      </c>
    </row>
    <row r="465">
      <c r="A465" s="13">
        <f>'Raw Enterprise Billing Data'!A465</f>
        <v/>
      </c>
      <c r="B465" s="13">
        <f>'Raw Enterprise Billing Data'!B465</f>
        <v/>
      </c>
      <c r="C465" s="13">
        <f>'Raw Enterprise Billing Data'!C465</f>
        <v/>
      </c>
      <c r="D465" s="14">
        <f>'Raw Enterprise Billing Data'!D465</f>
        <v/>
      </c>
      <c r="E465" s="13">
        <f>'Raw Enterprise Billing Data'!E465</f>
        <v/>
      </c>
      <c r="F465" s="14">
        <f>'Raw Enterprise Billing Data'!F465</f>
        <v/>
      </c>
      <c r="G465" s="15">
        <f>'Raw Enterprise Billing Data'!H465</f>
        <v/>
      </c>
      <c r="H465" s="13">
        <f>IF(COUNTIF($A$5:$A$499, A465)&gt;1, "⚠️ DUPLICATE", "UNIQUE")</f>
        <v/>
      </c>
      <c r="I465" s="14">
        <f>IF(OR(ISBLANK(D465), D465=""), "Unassigned", D465)</f>
        <v/>
      </c>
      <c r="J465" s="13">
        <f>IF(G465&lt;0, "CREDIT / ADJUSTMENT", "STANDARD USAGE")</f>
        <v/>
      </c>
    </row>
    <row r="466">
      <c r="A466" s="13">
        <f>'Raw Enterprise Billing Data'!A466</f>
        <v/>
      </c>
      <c r="B466" s="13">
        <f>'Raw Enterprise Billing Data'!B466</f>
        <v/>
      </c>
      <c r="C466" s="13">
        <f>'Raw Enterprise Billing Data'!C466</f>
        <v/>
      </c>
      <c r="D466" s="14">
        <f>'Raw Enterprise Billing Data'!D466</f>
        <v/>
      </c>
      <c r="E466" s="13">
        <f>'Raw Enterprise Billing Data'!E466</f>
        <v/>
      </c>
      <c r="F466" s="14">
        <f>'Raw Enterprise Billing Data'!F466</f>
        <v/>
      </c>
      <c r="G466" s="15">
        <f>'Raw Enterprise Billing Data'!H466</f>
        <v/>
      </c>
      <c r="H466" s="13">
        <f>IF(COUNTIF($A$5:$A$499, A466)&gt;1, "⚠️ DUPLICATE", "UNIQUE")</f>
        <v/>
      </c>
      <c r="I466" s="14">
        <f>IF(OR(ISBLANK(D466), D466=""), "Unassigned", D466)</f>
        <v/>
      </c>
      <c r="J466" s="13">
        <f>IF(G466&lt;0, "CREDIT / ADJUSTMENT", "STANDARD USAGE")</f>
        <v/>
      </c>
    </row>
    <row r="467">
      <c r="A467" s="13">
        <f>'Raw Enterprise Billing Data'!A467</f>
        <v/>
      </c>
      <c r="B467" s="13">
        <f>'Raw Enterprise Billing Data'!B467</f>
        <v/>
      </c>
      <c r="C467" s="13">
        <f>'Raw Enterprise Billing Data'!C467</f>
        <v/>
      </c>
      <c r="D467" s="14">
        <f>'Raw Enterprise Billing Data'!D467</f>
        <v/>
      </c>
      <c r="E467" s="13">
        <f>'Raw Enterprise Billing Data'!E467</f>
        <v/>
      </c>
      <c r="F467" s="14">
        <f>'Raw Enterprise Billing Data'!F467</f>
        <v/>
      </c>
      <c r="G467" s="15">
        <f>'Raw Enterprise Billing Data'!H467</f>
        <v/>
      </c>
      <c r="H467" s="13">
        <f>IF(COUNTIF($A$5:$A$499, A467)&gt;1, "⚠️ DUPLICATE", "UNIQUE")</f>
        <v/>
      </c>
      <c r="I467" s="14">
        <f>IF(OR(ISBLANK(D467), D467=""), "Unassigned", D467)</f>
        <v/>
      </c>
      <c r="J467" s="13">
        <f>IF(G467&lt;0, "CREDIT / ADJUSTMENT", "STANDARD USAGE")</f>
        <v/>
      </c>
    </row>
    <row r="468">
      <c r="A468" s="13">
        <f>'Raw Enterprise Billing Data'!A468</f>
        <v/>
      </c>
      <c r="B468" s="13">
        <f>'Raw Enterprise Billing Data'!B468</f>
        <v/>
      </c>
      <c r="C468" s="13">
        <f>'Raw Enterprise Billing Data'!C468</f>
        <v/>
      </c>
      <c r="D468" s="14">
        <f>'Raw Enterprise Billing Data'!D468</f>
        <v/>
      </c>
      <c r="E468" s="13">
        <f>'Raw Enterprise Billing Data'!E468</f>
        <v/>
      </c>
      <c r="F468" s="14">
        <f>'Raw Enterprise Billing Data'!F468</f>
        <v/>
      </c>
      <c r="G468" s="15">
        <f>'Raw Enterprise Billing Data'!H468</f>
        <v/>
      </c>
      <c r="H468" s="13">
        <f>IF(COUNTIF($A$5:$A$499, A468)&gt;1, "⚠️ DUPLICATE", "UNIQUE")</f>
        <v/>
      </c>
      <c r="I468" s="14">
        <f>IF(OR(ISBLANK(D468), D468=""), "Unassigned", D468)</f>
        <v/>
      </c>
      <c r="J468" s="13">
        <f>IF(G468&lt;0, "CREDIT / ADJUSTMENT", "STANDARD USAGE")</f>
        <v/>
      </c>
    </row>
    <row r="469">
      <c r="A469" s="13">
        <f>'Raw Enterprise Billing Data'!A469</f>
        <v/>
      </c>
      <c r="B469" s="13">
        <f>'Raw Enterprise Billing Data'!B469</f>
        <v/>
      </c>
      <c r="C469" s="13">
        <f>'Raw Enterprise Billing Data'!C469</f>
        <v/>
      </c>
      <c r="D469" s="14">
        <f>'Raw Enterprise Billing Data'!D469</f>
        <v/>
      </c>
      <c r="E469" s="13">
        <f>'Raw Enterprise Billing Data'!E469</f>
        <v/>
      </c>
      <c r="F469" s="14">
        <f>'Raw Enterprise Billing Data'!F469</f>
        <v/>
      </c>
      <c r="G469" s="15">
        <f>'Raw Enterprise Billing Data'!H469</f>
        <v/>
      </c>
      <c r="H469" s="13">
        <f>IF(COUNTIF($A$5:$A$499, A469)&gt;1, "⚠️ DUPLICATE", "UNIQUE")</f>
        <v/>
      </c>
      <c r="I469" s="14">
        <f>IF(OR(ISBLANK(D469), D469=""), "Unassigned", D469)</f>
        <v/>
      </c>
      <c r="J469" s="13">
        <f>IF(G469&lt;0, "CREDIT / ADJUSTMENT", "STANDARD USAGE")</f>
        <v/>
      </c>
    </row>
    <row r="470">
      <c r="A470" s="13">
        <f>'Raw Enterprise Billing Data'!A470</f>
        <v/>
      </c>
      <c r="B470" s="13">
        <f>'Raw Enterprise Billing Data'!B470</f>
        <v/>
      </c>
      <c r="C470" s="13">
        <f>'Raw Enterprise Billing Data'!C470</f>
        <v/>
      </c>
      <c r="D470" s="14">
        <f>'Raw Enterprise Billing Data'!D470</f>
        <v/>
      </c>
      <c r="E470" s="13">
        <f>'Raw Enterprise Billing Data'!E470</f>
        <v/>
      </c>
      <c r="F470" s="14">
        <f>'Raw Enterprise Billing Data'!F470</f>
        <v/>
      </c>
      <c r="G470" s="15">
        <f>'Raw Enterprise Billing Data'!H470</f>
        <v/>
      </c>
      <c r="H470" s="13">
        <f>IF(COUNTIF($A$5:$A$499, A470)&gt;1, "⚠️ DUPLICATE", "UNIQUE")</f>
        <v/>
      </c>
      <c r="I470" s="14">
        <f>IF(OR(ISBLANK(D470), D470=""), "Unassigned", D470)</f>
        <v/>
      </c>
      <c r="J470" s="13">
        <f>IF(G470&lt;0, "CREDIT / ADJUSTMENT", "STANDARD USAGE")</f>
        <v/>
      </c>
    </row>
    <row r="471">
      <c r="A471" s="13">
        <f>'Raw Enterprise Billing Data'!A471</f>
        <v/>
      </c>
      <c r="B471" s="13">
        <f>'Raw Enterprise Billing Data'!B471</f>
        <v/>
      </c>
      <c r="C471" s="13">
        <f>'Raw Enterprise Billing Data'!C471</f>
        <v/>
      </c>
      <c r="D471" s="14">
        <f>'Raw Enterprise Billing Data'!D471</f>
        <v/>
      </c>
      <c r="E471" s="13">
        <f>'Raw Enterprise Billing Data'!E471</f>
        <v/>
      </c>
      <c r="F471" s="14">
        <f>'Raw Enterprise Billing Data'!F471</f>
        <v/>
      </c>
      <c r="G471" s="15">
        <f>'Raw Enterprise Billing Data'!H471</f>
        <v/>
      </c>
      <c r="H471" s="13">
        <f>IF(COUNTIF($A$5:$A$499, A471)&gt;1, "⚠️ DUPLICATE", "UNIQUE")</f>
        <v/>
      </c>
      <c r="I471" s="14">
        <f>IF(OR(ISBLANK(D471), D471=""), "Unassigned", D471)</f>
        <v/>
      </c>
      <c r="J471" s="13">
        <f>IF(G471&lt;0, "CREDIT / ADJUSTMENT", "STANDARD USAGE")</f>
        <v/>
      </c>
    </row>
    <row r="472">
      <c r="A472" s="13">
        <f>'Raw Enterprise Billing Data'!A472</f>
        <v/>
      </c>
      <c r="B472" s="13">
        <f>'Raw Enterprise Billing Data'!B472</f>
        <v/>
      </c>
      <c r="C472" s="13">
        <f>'Raw Enterprise Billing Data'!C472</f>
        <v/>
      </c>
      <c r="D472" s="14">
        <f>'Raw Enterprise Billing Data'!D472</f>
        <v/>
      </c>
      <c r="E472" s="13">
        <f>'Raw Enterprise Billing Data'!E472</f>
        <v/>
      </c>
      <c r="F472" s="14">
        <f>'Raw Enterprise Billing Data'!F472</f>
        <v/>
      </c>
      <c r="G472" s="15">
        <f>'Raw Enterprise Billing Data'!H472</f>
        <v/>
      </c>
      <c r="H472" s="13">
        <f>IF(COUNTIF($A$5:$A$499, A472)&gt;1, "⚠️ DUPLICATE", "UNIQUE")</f>
        <v/>
      </c>
      <c r="I472" s="14">
        <f>IF(OR(ISBLANK(D472), D472=""), "Unassigned", D472)</f>
        <v/>
      </c>
      <c r="J472" s="13">
        <f>IF(G472&lt;0, "CREDIT / ADJUSTMENT", "STANDARD USAGE")</f>
        <v/>
      </c>
    </row>
    <row r="473">
      <c r="A473" s="13">
        <f>'Raw Enterprise Billing Data'!A473</f>
        <v/>
      </c>
      <c r="B473" s="13">
        <f>'Raw Enterprise Billing Data'!B473</f>
        <v/>
      </c>
      <c r="C473" s="13">
        <f>'Raw Enterprise Billing Data'!C473</f>
        <v/>
      </c>
      <c r="D473" s="14">
        <f>'Raw Enterprise Billing Data'!D473</f>
        <v/>
      </c>
      <c r="E473" s="13">
        <f>'Raw Enterprise Billing Data'!E473</f>
        <v/>
      </c>
      <c r="F473" s="14">
        <f>'Raw Enterprise Billing Data'!F473</f>
        <v/>
      </c>
      <c r="G473" s="15">
        <f>'Raw Enterprise Billing Data'!H473</f>
        <v/>
      </c>
      <c r="H473" s="13">
        <f>IF(COUNTIF($A$5:$A$499, A473)&gt;1, "⚠️ DUPLICATE", "UNIQUE")</f>
        <v/>
      </c>
      <c r="I473" s="14">
        <f>IF(OR(ISBLANK(D473), D473=""), "Unassigned", D473)</f>
        <v/>
      </c>
      <c r="J473" s="13">
        <f>IF(G473&lt;0, "CREDIT / ADJUSTMENT", "STANDARD USAGE")</f>
        <v/>
      </c>
    </row>
    <row r="474">
      <c r="A474" s="13">
        <f>'Raw Enterprise Billing Data'!A474</f>
        <v/>
      </c>
      <c r="B474" s="13">
        <f>'Raw Enterprise Billing Data'!B474</f>
        <v/>
      </c>
      <c r="C474" s="13">
        <f>'Raw Enterprise Billing Data'!C474</f>
        <v/>
      </c>
      <c r="D474" s="14">
        <f>'Raw Enterprise Billing Data'!D474</f>
        <v/>
      </c>
      <c r="E474" s="13">
        <f>'Raw Enterprise Billing Data'!E474</f>
        <v/>
      </c>
      <c r="F474" s="14">
        <f>'Raw Enterprise Billing Data'!F474</f>
        <v/>
      </c>
      <c r="G474" s="15">
        <f>'Raw Enterprise Billing Data'!H474</f>
        <v/>
      </c>
      <c r="H474" s="13">
        <f>IF(COUNTIF($A$5:$A$499, A474)&gt;1, "⚠️ DUPLICATE", "UNIQUE")</f>
        <v/>
      </c>
      <c r="I474" s="14">
        <f>IF(OR(ISBLANK(D474), D474=""), "Unassigned", D474)</f>
        <v/>
      </c>
      <c r="J474" s="13">
        <f>IF(G474&lt;0, "CREDIT / ADJUSTMENT", "STANDARD USAGE")</f>
        <v/>
      </c>
    </row>
    <row r="475">
      <c r="A475" s="13">
        <f>'Raw Enterprise Billing Data'!A475</f>
        <v/>
      </c>
      <c r="B475" s="13">
        <f>'Raw Enterprise Billing Data'!B475</f>
        <v/>
      </c>
      <c r="C475" s="13">
        <f>'Raw Enterprise Billing Data'!C475</f>
        <v/>
      </c>
      <c r="D475" s="14">
        <f>'Raw Enterprise Billing Data'!D475</f>
        <v/>
      </c>
      <c r="E475" s="13">
        <f>'Raw Enterprise Billing Data'!E475</f>
        <v/>
      </c>
      <c r="F475" s="14">
        <f>'Raw Enterprise Billing Data'!F475</f>
        <v/>
      </c>
      <c r="G475" s="15">
        <f>'Raw Enterprise Billing Data'!H475</f>
        <v/>
      </c>
      <c r="H475" s="13">
        <f>IF(COUNTIF($A$5:$A$499, A475)&gt;1, "⚠️ DUPLICATE", "UNIQUE")</f>
        <v/>
      </c>
      <c r="I475" s="14">
        <f>IF(OR(ISBLANK(D475), D475=""), "Unassigned", D475)</f>
        <v/>
      </c>
      <c r="J475" s="13">
        <f>IF(G475&lt;0, "CREDIT / ADJUSTMENT", "STANDARD USAGE")</f>
        <v/>
      </c>
    </row>
    <row r="476">
      <c r="A476" s="13">
        <f>'Raw Enterprise Billing Data'!A476</f>
        <v/>
      </c>
      <c r="B476" s="13">
        <f>'Raw Enterprise Billing Data'!B476</f>
        <v/>
      </c>
      <c r="C476" s="13">
        <f>'Raw Enterprise Billing Data'!C476</f>
        <v/>
      </c>
      <c r="D476" s="14">
        <f>'Raw Enterprise Billing Data'!D476</f>
        <v/>
      </c>
      <c r="E476" s="13">
        <f>'Raw Enterprise Billing Data'!E476</f>
        <v/>
      </c>
      <c r="F476" s="14">
        <f>'Raw Enterprise Billing Data'!F476</f>
        <v/>
      </c>
      <c r="G476" s="15">
        <f>'Raw Enterprise Billing Data'!H476</f>
        <v/>
      </c>
      <c r="H476" s="13">
        <f>IF(COUNTIF($A$5:$A$499, A476)&gt;1, "⚠️ DUPLICATE", "UNIQUE")</f>
        <v/>
      </c>
      <c r="I476" s="14">
        <f>IF(OR(ISBLANK(D476), D476=""), "Unassigned", D476)</f>
        <v/>
      </c>
      <c r="J476" s="13">
        <f>IF(G476&lt;0, "CREDIT / ADJUSTMENT", "STANDARD USAGE")</f>
        <v/>
      </c>
    </row>
    <row r="477">
      <c r="A477" s="13">
        <f>'Raw Enterprise Billing Data'!A477</f>
        <v/>
      </c>
      <c r="B477" s="13">
        <f>'Raw Enterprise Billing Data'!B477</f>
        <v/>
      </c>
      <c r="C477" s="13">
        <f>'Raw Enterprise Billing Data'!C477</f>
        <v/>
      </c>
      <c r="D477" s="14">
        <f>'Raw Enterprise Billing Data'!D477</f>
        <v/>
      </c>
      <c r="E477" s="13">
        <f>'Raw Enterprise Billing Data'!E477</f>
        <v/>
      </c>
      <c r="F477" s="14">
        <f>'Raw Enterprise Billing Data'!F477</f>
        <v/>
      </c>
      <c r="G477" s="15">
        <f>'Raw Enterprise Billing Data'!H477</f>
        <v/>
      </c>
      <c r="H477" s="13">
        <f>IF(COUNTIF($A$5:$A$499, A477)&gt;1, "⚠️ DUPLICATE", "UNIQUE")</f>
        <v/>
      </c>
      <c r="I477" s="14">
        <f>IF(OR(ISBLANK(D477), D477=""), "Unassigned", D477)</f>
        <v/>
      </c>
      <c r="J477" s="13">
        <f>IF(G477&lt;0, "CREDIT / ADJUSTMENT", "STANDARD USAGE")</f>
        <v/>
      </c>
    </row>
    <row r="478">
      <c r="A478" s="13">
        <f>'Raw Enterprise Billing Data'!A478</f>
        <v/>
      </c>
      <c r="B478" s="13">
        <f>'Raw Enterprise Billing Data'!B478</f>
        <v/>
      </c>
      <c r="C478" s="13">
        <f>'Raw Enterprise Billing Data'!C478</f>
        <v/>
      </c>
      <c r="D478" s="14">
        <f>'Raw Enterprise Billing Data'!D478</f>
        <v/>
      </c>
      <c r="E478" s="13">
        <f>'Raw Enterprise Billing Data'!E478</f>
        <v/>
      </c>
      <c r="F478" s="14">
        <f>'Raw Enterprise Billing Data'!F478</f>
        <v/>
      </c>
      <c r="G478" s="15">
        <f>'Raw Enterprise Billing Data'!H478</f>
        <v/>
      </c>
      <c r="H478" s="13">
        <f>IF(COUNTIF($A$5:$A$499, A478)&gt;1, "⚠️ DUPLICATE", "UNIQUE")</f>
        <v/>
      </c>
      <c r="I478" s="14">
        <f>IF(OR(ISBLANK(D478), D478=""), "Unassigned", D478)</f>
        <v/>
      </c>
      <c r="J478" s="13">
        <f>IF(G478&lt;0, "CREDIT / ADJUSTMENT", "STANDARD USAGE")</f>
        <v/>
      </c>
    </row>
    <row r="479">
      <c r="A479" s="13">
        <f>'Raw Enterprise Billing Data'!A479</f>
        <v/>
      </c>
      <c r="B479" s="13">
        <f>'Raw Enterprise Billing Data'!B479</f>
        <v/>
      </c>
      <c r="C479" s="13">
        <f>'Raw Enterprise Billing Data'!C479</f>
        <v/>
      </c>
      <c r="D479" s="14">
        <f>'Raw Enterprise Billing Data'!D479</f>
        <v/>
      </c>
      <c r="E479" s="13">
        <f>'Raw Enterprise Billing Data'!E479</f>
        <v/>
      </c>
      <c r="F479" s="14">
        <f>'Raw Enterprise Billing Data'!F479</f>
        <v/>
      </c>
      <c r="G479" s="15">
        <f>'Raw Enterprise Billing Data'!H479</f>
        <v/>
      </c>
      <c r="H479" s="13">
        <f>IF(COUNTIF($A$5:$A$499, A479)&gt;1, "⚠️ DUPLICATE", "UNIQUE")</f>
        <v/>
      </c>
      <c r="I479" s="14">
        <f>IF(OR(ISBLANK(D479), D479=""), "Unassigned", D479)</f>
        <v/>
      </c>
      <c r="J479" s="13">
        <f>IF(G479&lt;0, "CREDIT / ADJUSTMENT", "STANDARD USAGE")</f>
        <v/>
      </c>
    </row>
    <row r="480">
      <c r="A480" s="13">
        <f>'Raw Enterprise Billing Data'!A480</f>
        <v/>
      </c>
      <c r="B480" s="13">
        <f>'Raw Enterprise Billing Data'!B480</f>
        <v/>
      </c>
      <c r="C480" s="13">
        <f>'Raw Enterprise Billing Data'!C480</f>
        <v/>
      </c>
      <c r="D480" s="14">
        <f>'Raw Enterprise Billing Data'!D480</f>
        <v/>
      </c>
      <c r="E480" s="13">
        <f>'Raw Enterprise Billing Data'!E480</f>
        <v/>
      </c>
      <c r="F480" s="14">
        <f>'Raw Enterprise Billing Data'!F480</f>
        <v/>
      </c>
      <c r="G480" s="15">
        <f>'Raw Enterprise Billing Data'!H480</f>
        <v/>
      </c>
      <c r="H480" s="13">
        <f>IF(COUNTIF($A$5:$A$499, A480)&gt;1, "⚠️ DUPLICATE", "UNIQUE")</f>
        <v/>
      </c>
      <c r="I480" s="14">
        <f>IF(OR(ISBLANK(D480), D480=""), "Unassigned", D480)</f>
        <v/>
      </c>
      <c r="J480" s="13">
        <f>IF(G480&lt;0, "CREDIT / ADJUSTMENT", "STANDARD USAGE")</f>
        <v/>
      </c>
    </row>
    <row r="481">
      <c r="A481" s="13">
        <f>'Raw Enterprise Billing Data'!A481</f>
        <v/>
      </c>
      <c r="B481" s="13">
        <f>'Raw Enterprise Billing Data'!B481</f>
        <v/>
      </c>
      <c r="C481" s="13">
        <f>'Raw Enterprise Billing Data'!C481</f>
        <v/>
      </c>
      <c r="D481" s="14">
        <f>'Raw Enterprise Billing Data'!D481</f>
        <v/>
      </c>
      <c r="E481" s="13">
        <f>'Raw Enterprise Billing Data'!E481</f>
        <v/>
      </c>
      <c r="F481" s="14">
        <f>'Raw Enterprise Billing Data'!F481</f>
        <v/>
      </c>
      <c r="G481" s="15">
        <f>'Raw Enterprise Billing Data'!H481</f>
        <v/>
      </c>
      <c r="H481" s="13">
        <f>IF(COUNTIF($A$5:$A$499, A481)&gt;1, "⚠️ DUPLICATE", "UNIQUE")</f>
        <v/>
      </c>
      <c r="I481" s="14">
        <f>IF(OR(ISBLANK(D481), D481=""), "Unassigned", D481)</f>
        <v/>
      </c>
      <c r="J481" s="13">
        <f>IF(G481&lt;0, "CREDIT / ADJUSTMENT", "STANDARD USAGE")</f>
        <v/>
      </c>
    </row>
    <row r="482">
      <c r="A482" s="13">
        <f>'Raw Enterprise Billing Data'!A482</f>
        <v/>
      </c>
      <c r="B482" s="13">
        <f>'Raw Enterprise Billing Data'!B482</f>
        <v/>
      </c>
      <c r="C482" s="13">
        <f>'Raw Enterprise Billing Data'!C482</f>
        <v/>
      </c>
      <c r="D482" s="14">
        <f>'Raw Enterprise Billing Data'!D482</f>
        <v/>
      </c>
      <c r="E482" s="13">
        <f>'Raw Enterprise Billing Data'!E482</f>
        <v/>
      </c>
      <c r="F482" s="14">
        <f>'Raw Enterprise Billing Data'!F482</f>
        <v/>
      </c>
      <c r="G482" s="15">
        <f>'Raw Enterprise Billing Data'!H482</f>
        <v/>
      </c>
      <c r="H482" s="13">
        <f>IF(COUNTIF($A$5:$A$499, A482)&gt;1, "⚠️ DUPLICATE", "UNIQUE")</f>
        <v/>
      </c>
      <c r="I482" s="14">
        <f>IF(OR(ISBLANK(D482), D482=""), "Unassigned", D482)</f>
        <v/>
      </c>
      <c r="J482" s="13">
        <f>IF(G482&lt;0, "CREDIT / ADJUSTMENT", "STANDARD USAGE")</f>
        <v/>
      </c>
    </row>
    <row r="483">
      <c r="A483" s="13">
        <f>'Raw Enterprise Billing Data'!A483</f>
        <v/>
      </c>
      <c r="B483" s="13">
        <f>'Raw Enterprise Billing Data'!B483</f>
        <v/>
      </c>
      <c r="C483" s="13">
        <f>'Raw Enterprise Billing Data'!C483</f>
        <v/>
      </c>
      <c r="D483" s="14">
        <f>'Raw Enterprise Billing Data'!D483</f>
        <v/>
      </c>
      <c r="E483" s="13">
        <f>'Raw Enterprise Billing Data'!E483</f>
        <v/>
      </c>
      <c r="F483" s="14">
        <f>'Raw Enterprise Billing Data'!F483</f>
        <v/>
      </c>
      <c r="G483" s="15">
        <f>'Raw Enterprise Billing Data'!H483</f>
        <v/>
      </c>
      <c r="H483" s="13">
        <f>IF(COUNTIF($A$5:$A$499, A483)&gt;1, "⚠️ DUPLICATE", "UNIQUE")</f>
        <v/>
      </c>
      <c r="I483" s="14">
        <f>IF(OR(ISBLANK(D483), D483=""), "Unassigned", D483)</f>
        <v/>
      </c>
      <c r="J483" s="13">
        <f>IF(G483&lt;0, "CREDIT / ADJUSTMENT", "STANDARD USAGE")</f>
        <v/>
      </c>
    </row>
    <row r="484">
      <c r="A484" s="13">
        <f>'Raw Enterprise Billing Data'!A484</f>
        <v/>
      </c>
      <c r="B484" s="13">
        <f>'Raw Enterprise Billing Data'!B484</f>
        <v/>
      </c>
      <c r="C484" s="13">
        <f>'Raw Enterprise Billing Data'!C484</f>
        <v/>
      </c>
      <c r="D484" s="14">
        <f>'Raw Enterprise Billing Data'!D484</f>
        <v/>
      </c>
      <c r="E484" s="13">
        <f>'Raw Enterprise Billing Data'!E484</f>
        <v/>
      </c>
      <c r="F484" s="14">
        <f>'Raw Enterprise Billing Data'!F484</f>
        <v/>
      </c>
      <c r="G484" s="15">
        <f>'Raw Enterprise Billing Data'!H484</f>
        <v/>
      </c>
      <c r="H484" s="13">
        <f>IF(COUNTIF($A$5:$A$499, A484)&gt;1, "⚠️ DUPLICATE", "UNIQUE")</f>
        <v/>
      </c>
      <c r="I484" s="14">
        <f>IF(OR(ISBLANK(D484), D484=""), "Unassigned", D484)</f>
        <v/>
      </c>
      <c r="J484" s="13">
        <f>IF(G484&lt;0, "CREDIT / ADJUSTMENT", "STANDARD USAGE")</f>
        <v/>
      </c>
    </row>
    <row r="485">
      <c r="A485" s="13">
        <f>'Raw Enterprise Billing Data'!A485</f>
        <v/>
      </c>
      <c r="B485" s="13">
        <f>'Raw Enterprise Billing Data'!B485</f>
        <v/>
      </c>
      <c r="C485" s="13">
        <f>'Raw Enterprise Billing Data'!C485</f>
        <v/>
      </c>
      <c r="D485" s="14">
        <f>'Raw Enterprise Billing Data'!D485</f>
        <v/>
      </c>
      <c r="E485" s="13">
        <f>'Raw Enterprise Billing Data'!E485</f>
        <v/>
      </c>
      <c r="F485" s="14">
        <f>'Raw Enterprise Billing Data'!F485</f>
        <v/>
      </c>
      <c r="G485" s="15">
        <f>'Raw Enterprise Billing Data'!H485</f>
        <v/>
      </c>
      <c r="H485" s="13">
        <f>IF(COUNTIF($A$5:$A$499, A485)&gt;1, "⚠️ DUPLICATE", "UNIQUE")</f>
        <v/>
      </c>
      <c r="I485" s="14">
        <f>IF(OR(ISBLANK(D485), D485=""), "Unassigned", D485)</f>
        <v/>
      </c>
      <c r="J485" s="13">
        <f>IF(G485&lt;0, "CREDIT / ADJUSTMENT", "STANDARD USAGE")</f>
        <v/>
      </c>
    </row>
    <row r="486">
      <c r="A486" s="13">
        <f>'Raw Enterprise Billing Data'!A486</f>
        <v/>
      </c>
      <c r="B486" s="13">
        <f>'Raw Enterprise Billing Data'!B486</f>
        <v/>
      </c>
      <c r="C486" s="13">
        <f>'Raw Enterprise Billing Data'!C486</f>
        <v/>
      </c>
      <c r="D486" s="14">
        <f>'Raw Enterprise Billing Data'!D486</f>
        <v/>
      </c>
      <c r="E486" s="13">
        <f>'Raw Enterprise Billing Data'!E486</f>
        <v/>
      </c>
      <c r="F486" s="14">
        <f>'Raw Enterprise Billing Data'!F486</f>
        <v/>
      </c>
      <c r="G486" s="15">
        <f>'Raw Enterprise Billing Data'!H486</f>
        <v/>
      </c>
      <c r="H486" s="13">
        <f>IF(COUNTIF($A$5:$A$499, A486)&gt;1, "⚠️ DUPLICATE", "UNIQUE")</f>
        <v/>
      </c>
      <c r="I486" s="14">
        <f>IF(OR(ISBLANK(D486), D486=""), "Unassigned", D486)</f>
        <v/>
      </c>
      <c r="J486" s="13">
        <f>IF(G486&lt;0, "CREDIT / ADJUSTMENT", "STANDARD USAGE")</f>
        <v/>
      </c>
    </row>
    <row r="487">
      <c r="A487" s="13">
        <f>'Raw Enterprise Billing Data'!A487</f>
        <v/>
      </c>
      <c r="B487" s="13">
        <f>'Raw Enterprise Billing Data'!B487</f>
        <v/>
      </c>
      <c r="C487" s="13">
        <f>'Raw Enterprise Billing Data'!C487</f>
        <v/>
      </c>
      <c r="D487" s="14">
        <f>'Raw Enterprise Billing Data'!D487</f>
        <v/>
      </c>
      <c r="E487" s="13">
        <f>'Raw Enterprise Billing Data'!E487</f>
        <v/>
      </c>
      <c r="F487" s="14">
        <f>'Raw Enterprise Billing Data'!F487</f>
        <v/>
      </c>
      <c r="G487" s="15">
        <f>'Raw Enterprise Billing Data'!H487</f>
        <v/>
      </c>
      <c r="H487" s="13">
        <f>IF(COUNTIF($A$5:$A$499, A487)&gt;1, "⚠️ DUPLICATE", "UNIQUE")</f>
        <v/>
      </c>
      <c r="I487" s="14">
        <f>IF(OR(ISBLANK(D487), D487=""), "Unassigned", D487)</f>
        <v/>
      </c>
      <c r="J487" s="13">
        <f>IF(G487&lt;0, "CREDIT / ADJUSTMENT", "STANDARD USAGE")</f>
        <v/>
      </c>
    </row>
    <row r="488">
      <c r="A488" s="13">
        <f>'Raw Enterprise Billing Data'!A488</f>
        <v/>
      </c>
      <c r="B488" s="13">
        <f>'Raw Enterprise Billing Data'!B488</f>
        <v/>
      </c>
      <c r="C488" s="13">
        <f>'Raw Enterprise Billing Data'!C488</f>
        <v/>
      </c>
      <c r="D488" s="14">
        <f>'Raw Enterprise Billing Data'!D488</f>
        <v/>
      </c>
      <c r="E488" s="13">
        <f>'Raw Enterprise Billing Data'!E488</f>
        <v/>
      </c>
      <c r="F488" s="14">
        <f>'Raw Enterprise Billing Data'!F488</f>
        <v/>
      </c>
      <c r="G488" s="15">
        <f>'Raw Enterprise Billing Data'!H488</f>
        <v/>
      </c>
      <c r="H488" s="13">
        <f>IF(COUNTIF($A$5:$A$499, A488)&gt;1, "⚠️ DUPLICATE", "UNIQUE")</f>
        <v/>
      </c>
      <c r="I488" s="14">
        <f>IF(OR(ISBLANK(D488), D488=""), "Unassigned", D488)</f>
        <v/>
      </c>
      <c r="J488" s="13">
        <f>IF(G488&lt;0, "CREDIT / ADJUSTMENT", "STANDARD USAGE")</f>
        <v/>
      </c>
    </row>
    <row r="489">
      <c r="A489" s="13">
        <f>'Raw Enterprise Billing Data'!A489</f>
        <v/>
      </c>
      <c r="B489" s="13">
        <f>'Raw Enterprise Billing Data'!B489</f>
        <v/>
      </c>
      <c r="C489" s="13">
        <f>'Raw Enterprise Billing Data'!C489</f>
        <v/>
      </c>
      <c r="D489" s="14">
        <f>'Raw Enterprise Billing Data'!D489</f>
        <v/>
      </c>
      <c r="E489" s="13">
        <f>'Raw Enterprise Billing Data'!E489</f>
        <v/>
      </c>
      <c r="F489" s="14">
        <f>'Raw Enterprise Billing Data'!F489</f>
        <v/>
      </c>
      <c r="G489" s="15">
        <f>'Raw Enterprise Billing Data'!H489</f>
        <v/>
      </c>
      <c r="H489" s="13">
        <f>IF(COUNTIF($A$5:$A$499, A489)&gt;1, "⚠️ DUPLICATE", "UNIQUE")</f>
        <v/>
      </c>
      <c r="I489" s="14">
        <f>IF(OR(ISBLANK(D489), D489=""), "Unassigned", D489)</f>
        <v/>
      </c>
      <c r="J489" s="13">
        <f>IF(G489&lt;0, "CREDIT / ADJUSTMENT", "STANDARD USAGE")</f>
        <v/>
      </c>
    </row>
    <row r="490">
      <c r="A490" s="13">
        <f>'Raw Enterprise Billing Data'!A490</f>
        <v/>
      </c>
      <c r="B490" s="13">
        <f>'Raw Enterprise Billing Data'!B490</f>
        <v/>
      </c>
      <c r="C490" s="13">
        <f>'Raw Enterprise Billing Data'!C490</f>
        <v/>
      </c>
      <c r="D490" s="14">
        <f>'Raw Enterprise Billing Data'!D490</f>
        <v/>
      </c>
      <c r="E490" s="13">
        <f>'Raw Enterprise Billing Data'!E490</f>
        <v/>
      </c>
      <c r="F490" s="14">
        <f>'Raw Enterprise Billing Data'!F490</f>
        <v/>
      </c>
      <c r="G490" s="15">
        <f>'Raw Enterprise Billing Data'!H490</f>
        <v/>
      </c>
      <c r="H490" s="13">
        <f>IF(COUNTIF($A$5:$A$499, A490)&gt;1, "⚠️ DUPLICATE", "UNIQUE")</f>
        <v/>
      </c>
      <c r="I490" s="14">
        <f>IF(OR(ISBLANK(D490), D490=""), "Unassigned", D490)</f>
        <v/>
      </c>
      <c r="J490" s="13">
        <f>IF(G490&lt;0, "CREDIT / ADJUSTMENT", "STANDARD USAGE")</f>
        <v/>
      </c>
    </row>
    <row r="491">
      <c r="A491" s="13">
        <f>'Raw Enterprise Billing Data'!A491</f>
        <v/>
      </c>
      <c r="B491" s="13">
        <f>'Raw Enterprise Billing Data'!B491</f>
        <v/>
      </c>
      <c r="C491" s="13">
        <f>'Raw Enterprise Billing Data'!C491</f>
        <v/>
      </c>
      <c r="D491" s="14">
        <f>'Raw Enterprise Billing Data'!D491</f>
        <v/>
      </c>
      <c r="E491" s="13">
        <f>'Raw Enterprise Billing Data'!E491</f>
        <v/>
      </c>
      <c r="F491" s="14">
        <f>'Raw Enterprise Billing Data'!F491</f>
        <v/>
      </c>
      <c r="G491" s="15">
        <f>'Raw Enterprise Billing Data'!H491</f>
        <v/>
      </c>
      <c r="H491" s="13">
        <f>IF(COUNTIF($A$5:$A$499, A491)&gt;1, "⚠️ DUPLICATE", "UNIQUE")</f>
        <v/>
      </c>
      <c r="I491" s="14">
        <f>IF(OR(ISBLANK(D491), D491=""), "Unassigned", D491)</f>
        <v/>
      </c>
      <c r="J491" s="13">
        <f>IF(G491&lt;0, "CREDIT / ADJUSTMENT", "STANDARD USAGE")</f>
        <v/>
      </c>
    </row>
    <row r="492">
      <c r="A492" s="13">
        <f>'Raw Enterprise Billing Data'!A492</f>
        <v/>
      </c>
      <c r="B492" s="13">
        <f>'Raw Enterprise Billing Data'!B492</f>
        <v/>
      </c>
      <c r="C492" s="13">
        <f>'Raw Enterprise Billing Data'!C492</f>
        <v/>
      </c>
      <c r="D492" s="14">
        <f>'Raw Enterprise Billing Data'!D492</f>
        <v/>
      </c>
      <c r="E492" s="13">
        <f>'Raw Enterprise Billing Data'!E492</f>
        <v/>
      </c>
      <c r="F492" s="14">
        <f>'Raw Enterprise Billing Data'!F492</f>
        <v/>
      </c>
      <c r="G492" s="15">
        <f>'Raw Enterprise Billing Data'!H492</f>
        <v/>
      </c>
      <c r="H492" s="13">
        <f>IF(COUNTIF($A$5:$A$499, A492)&gt;1, "⚠️ DUPLICATE", "UNIQUE")</f>
        <v/>
      </c>
      <c r="I492" s="14">
        <f>IF(OR(ISBLANK(D492), D492=""), "Unassigned", D492)</f>
        <v/>
      </c>
      <c r="J492" s="13">
        <f>IF(G492&lt;0, "CREDIT / ADJUSTMENT", "STANDARD USAGE")</f>
        <v/>
      </c>
    </row>
    <row r="493">
      <c r="A493" s="13">
        <f>'Raw Enterprise Billing Data'!A493</f>
        <v/>
      </c>
      <c r="B493" s="13">
        <f>'Raw Enterprise Billing Data'!B493</f>
        <v/>
      </c>
      <c r="C493" s="13">
        <f>'Raw Enterprise Billing Data'!C493</f>
        <v/>
      </c>
      <c r="D493" s="14">
        <f>'Raw Enterprise Billing Data'!D493</f>
        <v/>
      </c>
      <c r="E493" s="13">
        <f>'Raw Enterprise Billing Data'!E493</f>
        <v/>
      </c>
      <c r="F493" s="14">
        <f>'Raw Enterprise Billing Data'!F493</f>
        <v/>
      </c>
      <c r="G493" s="15">
        <f>'Raw Enterprise Billing Data'!H493</f>
        <v/>
      </c>
      <c r="H493" s="13">
        <f>IF(COUNTIF($A$5:$A$499, A493)&gt;1, "⚠️ DUPLICATE", "UNIQUE")</f>
        <v/>
      </c>
      <c r="I493" s="14">
        <f>IF(OR(ISBLANK(D493), D493=""), "Unassigned", D493)</f>
        <v/>
      </c>
      <c r="J493" s="13">
        <f>IF(G493&lt;0, "CREDIT / ADJUSTMENT", "STANDARD USAGE")</f>
        <v/>
      </c>
    </row>
    <row r="494">
      <c r="A494" s="13">
        <f>'Raw Enterprise Billing Data'!A494</f>
        <v/>
      </c>
      <c r="B494" s="13">
        <f>'Raw Enterprise Billing Data'!B494</f>
        <v/>
      </c>
      <c r="C494" s="13">
        <f>'Raw Enterprise Billing Data'!C494</f>
        <v/>
      </c>
      <c r="D494" s="14">
        <f>'Raw Enterprise Billing Data'!D494</f>
        <v/>
      </c>
      <c r="E494" s="13">
        <f>'Raw Enterprise Billing Data'!E494</f>
        <v/>
      </c>
      <c r="F494" s="14">
        <f>'Raw Enterprise Billing Data'!F494</f>
        <v/>
      </c>
      <c r="G494" s="15">
        <f>'Raw Enterprise Billing Data'!H494</f>
        <v/>
      </c>
      <c r="H494" s="13">
        <f>IF(COUNTIF($A$5:$A$499, A494)&gt;1, "⚠️ DUPLICATE", "UNIQUE")</f>
        <v/>
      </c>
      <c r="I494" s="14">
        <f>IF(OR(ISBLANK(D494), D494=""), "Unassigned", D494)</f>
        <v/>
      </c>
      <c r="J494" s="13">
        <f>IF(G494&lt;0, "CREDIT / ADJUSTMENT", "STANDARD USAGE")</f>
        <v/>
      </c>
    </row>
    <row r="495">
      <c r="A495" s="13">
        <f>'Raw Enterprise Billing Data'!A495</f>
        <v/>
      </c>
      <c r="B495" s="13">
        <f>'Raw Enterprise Billing Data'!B495</f>
        <v/>
      </c>
      <c r="C495" s="13">
        <f>'Raw Enterprise Billing Data'!C495</f>
        <v/>
      </c>
      <c r="D495" s="14">
        <f>'Raw Enterprise Billing Data'!D495</f>
        <v/>
      </c>
      <c r="E495" s="13">
        <f>'Raw Enterprise Billing Data'!E495</f>
        <v/>
      </c>
      <c r="F495" s="14">
        <f>'Raw Enterprise Billing Data'!F495</f>
        <v/>
      </c>
      <c r="G495" s="15">
        <f>'Raw Enterprise Billing Data'!H495</f>
        <v/>
      </c>
      <c r="H495" s="13">
        <f>IF(COUNTIF($A$5:$A$499, A495)&gt;1, "⚠️ DUPLICATE", "UNIQUE")</f>
        <v/>
      </c>
      <c r="I495" s="14">
        <f>IF(OR(ISBLANK(D495), D495=""), "Unassigned", D495)</f>
        <v/>
      </c>
      <c r="J495" s="13">
        <f>IF(G495&lt;0, "CREDIT / ADJUSTMENT", "STANDARD USAGE")</f>
        <v/>
      </c>
    </row>
    <row r="496">
      <c r="A496" s="13">
        <f>'Raw Enterprise Billing Data'!A496</f>
        <v/>
      </c>
      <c r="B496" s="13">
        <f>'Raw Enterprise Billing Data'!B496</f>
        <v/>
      </c>
      <c r="C496" s="13">
        <f>'Raw Enterprise Billing Data'!C496</f>
        <v/>
      </c>
      <c r="D496" s="14">
        <f>'Raw Enterprise Billing Data'!D496</f>
        <v/>
      </c>
      <c r="E496" s="13">
        <f>'Raw Enterprise Billing Data'!E496</f>
        <v/>
      </c>
      <c r="F496" s="14">
        <f>'Raw Enterprise Billing Data'!F496</f>
        <v/>
      </c>
      <c r="G496" s="15">
        <f>'Raw Enterprise Billing Data'!H496</f>
        <v/>
      </c>
      <c r="H496" s="13">
        <f>IF(COUNTIF($A$5:$A$499, A496)&gt;1, "⚠️ DUPLICATE", "UNIQUE")</f>
        <v/>
      </c>
      <c r="I496" s="14">
        <f>IF(OR(ISBLANK(D496), D496=""), "Unassigned", D496)</f>
        <v/>
      </c>
      <c r="J496" s="13">
        <f>IF(G496&lt;0, "CREDIT / ADJUSTMENT", "STANDARD USAGE")</f>
        <v/>
      </c>
    </row>
    <row r="497">
      <c r="A497" s="13">
        <f>'Raw Enterprise Billing Data'!A497</f>
        <v/>
      </c>
      <c r="B497" s="13">
        <f>'Raw Enterprise Billing Data'!B497</f>
        <v/>
      </c>
      <c r="C497" s="13">
        <f>'Raw Enterprise Billing Data'!C497</f>
        <v/>
      </c>
      <c r="D497" s="14">
        <f>'Raw Enterprise Billing Data'!D497</f>
        <v/>
      </c>
      <c r="E497" s="13">
        <f>'Raw Enterprise Billing Data'!E497</f>
        <v/>
      </c>
      <c r="F497" s="14">
        <f>'Raw Enterprise Billing Data'!F497</f>
        <v/>
      </c>
      <c r="G497" s="15">
        <f>'Raw Enterprise Billing Data'!H497</f>
        <v/>
      </c>
      <c r="H497" s="13">
        <f>IF(COUNTIF($A$5:$A$499, A497)&gt;1, "⚠️ DUPLICATE", "UNIQUE")</f>
        <v/>
      </c>
      <c r="I497" s="14">
        <f>IF(OR(ISBLANK(D497), D497=""), "Unassigned", D497)</f>
        <v/>
      </c>
      <c r="J497" s="13">
        <f>IF(G497&lt;0, "CREDIT / ADJUSTMENT", "STANDARD USAGE")</f>
        <v/>
      </c>
    </row>
    <row r="498">
      <c r="A498" s="13">
        <f>'Raw Enterprise Billing Data'!A498</f>
        <v/>
      </c>
      <c r="B498" s="13">
        <f>'Raw Enterprise Billing Data'!B498</f>
        <v/>
      </c>
      <c r="C498" s="13">
        <f>'Raw Enterprise Billing Data'!C498</f>
        <v/>
      </c>
      <c r="D498" s="14">
        <f>'Raw Enterprise Billing Data'!D498</f>
        <v/>
      </c>
      <c r="E498" s="13">
        <f>'Raw Enterprise Billing Data'!E498</f>
        <v/>
      </c>
      <c r="F498" s="14">
        <f>'Raw Enterprise Billing Data'!F498</f>
        <v/>
      </c>
      <c r="G498" s="15">
        <f>'Raw Enterprise Billing Data'!H498</f>
        <v/>
      </c>
      <c r="H498" s="13">
        <f>IF(COUNTIF($A$5:$A$499, A498)&gt;1, "⚠️ DUPLICATE", "UNIQUE")</f>
        <v/>
      </c>
      <c r="I498" s="14">
        <f>IF(OR(ISBLANK(D498), D498=""), "Unassigned", D498)</f>
        <v/>
      </c>
      <c r="J498" s="13">
        <f>IF(G498&lt;0, "CREDIT / ADJUSTMENT", "STANDARD USAGE")</f>
        <v/>
      </c>
    </row>
    <row r="499">
      <c r="A499" s="13">
        <f>'Raw Enterprise Billing Data'!A499</f>
        <v/>
      </c>
      <c r="B499" s="13">
        <f>'Raw Enterprise Billing Data'!B499</f>
        <v/>
      </c>
      <c r="C499" s="13">
        <f>'Raw Enterprise Billing Data'!C499</f>
        <v/>
      </c>
      <c r="D499" s="14">
        <f>'Raw Enterprise Billing Data'!D499</f>
        <v/>
      </c>
      <c r="E499" s="13">
        <f>'Raw Enterprise Billing Data'!E499</f>
        <v/>
      </c>
      <c r="F499" s="14">
        <f>'Raw Enterprise Billing Data'!F499</f>
        <v/>
      </c>
      <c r="G499" s="15">
        <f>'Raw Enterprise Billing Data'!H499</f>
        <v/>
      </c>
      <c r="H499" s="13">
        <f>IF(COUNTIF($A$5:$A$499, A499)&gt;1, "⚠️ DUPLICATE", "UNIQUE")</f>
        <v/>
      </c>
      <c r="I499" s="14">
        <f>IF(OR(ISBLANK(D499), D499=""), "Unassigned", D499)</f>
        <v/>
      </c>
      <c r="J499" s="13">
        <f>IF(G499&lt;0, "CREDIT / ADJUSTMENT", "STANDARD USAGE")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9"/>
  <sheetViews>
    <sheetView showGridLines="1" workbookViewId="0">
      <selection activeCell="A1" sqref="A1"/>
    </sheetView>
  </sheetViews>
  <sheetFormatPr baseColWidth="8" defaultRowHeight="15"/>
  <cols>
    <col width="132" customWidth="1" min="1" max="1"/>
    <col width="15" customWidth="1" min="2" max="2"/>
    <col width="29" customWidth="1" min="3" max="3"/>
    <col width="21" customWidth="1" min="4" max="4"/>
    <col width="22" customWidth="1" min="5" max="5"/>
    <col width="28" customWidth="1" min="6" max="6"/>
    <col width="42" customWidth="1" min="7" max="7"/>
    <col width="17" customWidth="1" min="8" max="8"/>
    <col width="17" customWidth="1" min="9" max="9"/>
  </cols>
  <sheetData>
    <row r="1">
      <c r="A1" s="1" t="inlineStr">
        <is>
          <t>RAW UNCLEANED ENTERPRISE GCP BILLING EXPORT</t>
        </is>
      </c>
    </row>
    <row r="2">
      <c r="A2" s="2" t="inlineStr">
        <is>
          <t>Ingested raw dataset containing 495 line items with intentional duplicate events, null business units, credits, and cost spikes.</t>
        </is>
      </c>
    </row>
    <row r="3"/>
    <row r="4">
      <c r="A4" s="12" t="inlineStr">
        <is>
          <t>TXN ID</t>
        </is>
      </c>
      <c r="B4" s="12" t="inlineStr">
        <is>
          <t>Date</t>
        </is>
      </c>
      <c r="C4" s="12" t="inlineStr">
        <is>
          <t>Project ID</t>
        </is>
      </c>
      <c r="D4" s="12" t="inlineStr">
        <is>
          <t>Raw Business Unit</t>
        </is>
      </c>
      <c r="E4" s="12" t="inlineStr">
        <is>
          <t>Region</t>
        </is>
      </c>
      <c r="F4" s="12" t="inlineStr">
        <is>
          <t>GCP Service</t>
        </is>
      </c>
      <c r="G4" s="12" t="inlineStr">
        <is>
          <t>SKU Description</t>
        </is>
      </c>
      <c r="H4" s="12" t="inlineStr">
        <is>
          <t>Raw Spend ($)</t>
        </is>
      </c>
      <c r="I4" s="12" t="inlineStr">
        <is>
          <t>Record Status</t>
        </is>
      </c>
    </row>
    <row r="5">
      <c r="A5" s="13" t="inlineStr">
        <is>
          <t>TXN-1149</t>
        </is>
      </c>
      <c r="B5" s="13" t="inlineStr">
        <is>
          <t>2026-09-30</t>
        </is>
      </c>
      <c r="C5" s="13" t="inlineStr">
        <is>
          <t>prj-hardware-and-iot-104</t>
        </is>
      </c>
      <c r="D5" s="14" t="inlineStr">
        <is>
          <t>Hardware &amp; IoT</t>
        </is>
      </c>
      <c r="E5" s="13" t="inlineStr">
        <is>
          <t>southamerica-east1</t>
        </is>
      </c>
      <c r="F5" s="14" t="inlineStr">
        <is>
          <t>Cloud Storage</t>
        </is>
      </c>
      <c r="G5" s="14" t="inlineStr">
        <is>
          <t>Standard Storage GB</t>
        </is>
      </c>
      <c r="H5" s="15" t="n">
        <v>1498.42</v>
      </c>
      <c r="I5" s="13" t="inlineStr">
        <is>
          <t>Active</t>
        </is>
      </c>
    </row>
    <row r="6">
      <c r="A6" s="13" t="inlineStr">
        <is>
          <t>TXN-1294</t>
        </is>
      </c>
      <c r="B6" s="13" t="inlineStr">
        <is>
          <t>2026-09-29</t>
        </is>
      </c>
      <c r="C6" s="13" t="inlineStr">
        <is>
          <t>prj-enterprise-saas-102</t>
        </is>
      </c>
      <c r="D6" s="14" t="inlineStr">
        <is>
          <t>Enterprise SaaS</t>
        </is>
      </c>
      <c r="E6" s="13" t="inlineStr">
        <is>
          <t>us-central1</t>
        </is>
      </c>
      <c r="F6" s="14" t="inlineStr">
        <is>
          <t>BigQuery</t>
        </is>
      </c>
      <c r="G6" s="14" t="inlineStr">
        <is>
          <t>Analysis Slot Usage</t>
        </is>
      </c>
      <c r="H6" s="15" t="n">
        <v>8592.299999999999</v>
      </c>
      <c r="I6" s="13" t="inlineStr">
        <is>
          <t>Active</t>
        </is>
      </c>
    </row>
    <row r="7">
      <c r="A7" s="13" t="inlineStr">
        <is>
          <t>TXN-1090</t>
        </is>
      </c>
      <c r="B7" s="13" t="inlineStr">
        <is>
          <t>2026-09-19</t>
        </is>
      </c>
      <c r="C7" s="13" t="inlineStr">
        <is>
          <t>prj-global-logistics-104</t>
        </is>
      </c>
      <c r="D7" s="14" t="inlineStr">
        <is>
          <t>Global Logistics</t>
        </is>
      </c>
      <c r="E7" s="13" t="inlineStr">
        <is>
          <t>us-east4</t>
        </is>
      </c>
      <c r="F7" s="14" t="inlineStr">
        <is>
          <t>Cloud SQL</t>
        </is>
      </c>
      <c r="G7" s="14" t="inlineStr">
        <is>
          <t>PostgreSQL High Availability</t>
        </is>
      </c>
      <c r="H7" s="15" t="n">
        <v>3353.95</v>
      </c>
      <c r="I7" s="13" t="inlineStr">
        <is>
          <t>Active</t>
        </is>
      </c>
    </row>
    <row r="8">
      <c r="A8" s="13" t="inlineStr">
        <is>
          <t>TXN-1159</t>
        </is>
      </c>
      <c r="B8" s="13" t="inlineStr">
        <is>
          <t>2026-09-23</t>
        </is>
      </c>
      <c r="C8" s="13" t="inlineStr">
        <is>
          <t>prj-pro-services-105</t>
        </is>
      </c>
      <c r="D8" s="14" t="inlineStr">
        <is>
          <t>Pro Services</t>
        </is>
      </c>
      <c r="E8" s="13" t="inlineStr">
        <is>
          <t>asia-east1</t>
        </is>
      </c>
      <c r="F8" s="14" t="inlineStr">
        <is>
          <t>Cloud SQL</t>
        </is>
      </c>
      <c r="G8" s="14" t="inlineStr">
        <is>
          <t>PostgreSQL High Availability</t>
        </is>
      </c>
      <c r="H8" s="15" t="n">
        <v>2628.44</v>
      </c>
      <c r="I8" s="13" t="inlineStr">
        <is>
          <t>Active</t>
        </is>
      </c>
    </row>
    <row r="9">
      <c r="A9" s="13" t="inlineStr">
        <is>
          <t>TXN-1181</t>
        </is>
      </c>
      <c r="B9" s="13" t="inlineStr">
        <is>
          <t>2026-09-02</t>
        </is>
      </c>
      <c r="C9" s="13" t="inlineStr">
        <is>
          <t>prj-e-commerce-engine-103</t>
        </is>
      </c>
      <c r="D9" s="14" t="inlineStr">
        <is>
          <t>E-Commerce Engine</t>
        </is>
      </c>
      <c r="E9" s="13" t="inlineStr">
        <is>
          <t>us-central1</t>
        </is>
      </c>
      <c r="F9" s="14" t="inlineStr">
        <is>
          <t>Cloud Storage</t>
        </is>
      </c>
      <c r="G9" s="14" t="inlineStr">
        <is>
          <t>Standard Storage GB</t>
        </is>
      </c>
      <c r="H9" s="15" t="n">
        <v>3793.31</v>
      </c>
      <c r="I9" s="13" t="inlineStr">
        <is>
          <t>Active</t>
        </is>
      </c>
    </row>
    <row r="10">
      <c r="A10" s="13" t="inlineStr">
        <is>
          <t>TXN-1070</t>
        </is>
      </c>
      <c r="B10" s="13" t="inlineStr">
        <is>
          <t>2026-09-30</t>
        </is>
      </c>
      <c r="C10" s="13" t="inlineStr">
        <is>
          <t>prj-hardware-and-iot-103</t>
        </is>
      </c>
      <c r="D10" s="14" t="inlineStr">
        <is>
          <t>Hardware &amp; IoT</t>
        </is>
      </c>
      <c r="E10" s="13" t="inlineStr">
        <is>
          <t>us-east4</t>
        </is>
      </c>
      <c r="F10" s="14" t="inlineStr">
        <is>
          <t>Cloud Storage</t>
        </is>
      </c>
      <c r="G10" s="14" t="inlineStr">
        <is>
          <t>Standard Storage GB</t>
        </is>
      </c>
      <c r="H10" s="15" t="n">
        <v>1613.91</v>
      </c>
      <c r="I10" s="13" t="inlineStr">
        <is>
          <t>Active</t>
        </is>
      </c>
    </row>
    <row r="11">
      <c r="A11" s="13" t="inlineStr">
        <is>
          <t>TXN-1082</t>
        </is>
      </c>
      <c r="B11" s="13" t="inlineStr">
        <is>
          <t>2026-09-10</t>
        </is>
      </c>
      <c r="C11" s="13" t="inlineStr">
        <is>
          <t>prj-e-commerce-engine-104</t>
        </is>
      </c>
      <c r="D11" s="14" t="inlineStr">
        <is>
          <t>E-Commerce Engine</t>
        </is>
      </c>
      <c r="E11" s="13" t="inlineStr">
        <is>
          <t>europe-west1</t>
        </is>
      </c>
      <c r="F11" s="14" t="inlineStr">
        <is>
          <t>Cloud Storage</t>
        </is>
      </c>
      <c r="G11" s="14" t="inlineStr">
        <is>
          <t>Standard Storage GB</t>
        </is>
      </c>
      <c r="H11" s="15" t="n">
        <v>2928.82</v>
      </c>
      <c r="I11" s="13" t="inlineStr">
        <is>
          <t>Active</t>
        </is>
      </c>
    </row>
    <row r="12">
      <c r="A12" s="13" t="inlineStr">
        <is>
          <t>TXN-1108</t>
        </is>
      </c>
      <c r="B12" s="13" t="inlineStr">
        <is>
          <t>2026-09-05</t>
        </is>
      </c>
      <c r="C12" s="13" t="inlineStr">
        <is>
          <t>prj-pro-services-103</t>
        </is>
      </c>
      <c r="D12" s="14" t="inlineStr">
        <is>
          <t>Pro Services</t>
        </is>
      </c>
      <c r="E12" s="13" t="inlineStr">
        <is>
          <t>europe-west1</t>
        </is>
      </c>
      <c r="F12" s="14" t="inlineStr">
        <is>
          <t>Compute Engine</t>
        </is>
      </c>
      <c r="G12" s="14" t="inlineStr">
        <is>
          <t>N2 Standard 8 vCPU</t>
        </is>
      </c>
      <c r="H12" s="15" t="n">
        <v>5016.42</v>
      </c>
      <c r="I12" s="13" t="inlineStr">
        <is>
          <t>Active</t>
        </is>
      </c>
    </row>
    <row r="13">
      <c r="A13" s="13" t="inlineStr">
        <is>
          <t>TXN-1315</t>
        </is>
      </c>
      <c r="B13" s="13" t="inlineStr">
        <is>
          <t>2026-09-23</t>
        </is>
      </c>
      <c r="C13" s="13" t="inlineStr">
        <is>
          <t>prj-pro-services-103</t>
        </is>
      </c>
      <c r="D13" s="14" t="inlineStr">
        <is>
          <t>Pro Services</t>
        </is>
      </c>
      <c r="E13" s="13" t="inlineStr">
        <is>
          <t>europe-west1</t>
        </is>
      </c>
      <c r="F13" s="14" t="inlineStr">
        <is>
          <t>Cloud SQL</t>
        </is>
      </c>
      <c r="G13" s="14" t="inlineStr">
        <is>
          <t>PostgreSQL High Availability</t>
        </is>
      </c>
      <c r="H13" s="15" t="n">
        <v>4064.95</v>
      </c>
      <c r="I13" s="13" t="inlineStr">
        <is>
          <t>Active</t>
        </is>
      </c>
    </row>
    <row r="14">
      <c r="A14" s="13" t="inlineStr">
        <is>
          <t>TXN-1297</t>
        </is>
      </c>
      <c r="B14" s="13" t="inlineStr">
        <is>
          <t>2026-09-26</t>
        </is>
      </c>
      <c r="C14" s="13" t="inlineStr">
        <is>
          <t>prj-e-commerce-engine-101</t>
        </is>
      </c>
      <c r="D14" s="14" t="inlineStr">
        <is>
          <t>E-Commerce Engine</t>
        </is>
      </c>
      <c r="E14" s="13" t="inlineStr">
        <is>
          <t>us-east4</t>
        </is>
      </c>
      <c r="F14" s="14" t="inlineStr">
        <is>
          <t>Compute Engine</t>
        </is>
      </c>
      <c r="G14" s="14" t="inlineStr">
        <is>
          <t>N2 Standard 8 vCPU</t>
        </is>
      </c>
      <c r="H14" s="15" t="n">
        <v>6846.75</v>
      </c>
      <c r="I14" s="13" t="inlineStr">
        <is>
          <t>Active</t>
        </is>
      </c>
    </row>
    <row r="15">
      <c r="A15" s="13" t="inlineStr">
        <is>
          <t>TXN-1003</t>
        </is>
      </c>
      <c r="B15" s="13" t="inlineStr">
        <is>
          <t>2026-09-01</t>
        </is>
      </c>
      <c r="C15" s="13" t="inlineStr">
        <is>
          <t>prj-enterprise-saas-105</t>
        </is>
      </c>
      <c r="D15" s="14" t="inlineStr">
        <is>
          <t>Enterprise SaaS</t>
        </is>
      </c>
      <c r="E15" s="13" t="inlineStr">
        <is>
          <t>europe-west1</t>
        </is>
      </c>
      <c r="F15" s="14" t="inlineStr">
        <is>
          <t>Cloud Storage</t>
        </is>
      </c>
      <c r="G15" s="14" t="inlineStr">
        <is>
          <t>Standard Storage GB</t>
        </is>
      </c>
      <c r="H15" s="15" t="n">
        <v>2765.25</v>
      </c>
      <c r="I15" s="13" t="inlineStr">
        <is>
          <t>Active</t>
        </is>
      </c>
    </row>
    <row r="16">
      <c r="A16" s="13" t="inlineStr">
        <is>
          <t>TXN-1370</t>
        </is>
      </c>
      <c r="B16" s="13" t="inlineStr">
        <is>
          <t>2026-09-08</t>
        </is>
      </c>
      <c r="C16" s="13" t="inlineStr">
        <is>
          <t>prj-enterprise-saas-102</t>
        </is>
      </c>
      <c r="D16" s="14" t="inlineStr">
        <is>
          <t>Enterprise SaaS</t>
        </is>
      </c>
      <c r="E16" s="13" t="inlineStr">
        <is>
          <t>southamerica-east1</t>
        </is>
      </c>
      <c r="F16" s="14" t="inlineStr">
        <is>
          <t>Compute Engine</t>
        </is>
      </c>
      <c r="G16" s="14" t="inlineStr">
        <is>
          <t>N2 Standard 8 vCPU</t>
        </is>
      </c>
      <c r="H16" s="15" t="n">
        <v>3575.75</v>
      </c>
      <c r="I16" s="13" t="inlineStr">
        <is>
          <t>Active</t>
        </is>
      </c>
    </row>
    <row r="17">
      <c r="A17" s="13" t="inlineStr">
        <is>
          <t>TXN-1132</t>
        </is>
      </c>
      <c r="B17" s="13" t="inlineStr">
        <is>
          <t>2026-09-23</t>
        </is>
      </c>
      <c r="C17" s="13" t="inlineStr">
        <is>
          <t>prj-pro-services-103</t>
        </is>
      </c>
      <c r="D17" s="14" t="inlineStr">
        <is>
          <t>Pro Services</t>
        </is>
      </c>
      <c r="E17" s="13" t="inlineStr">
        <is>
          <t>asia-east1</t>
        </is>
      </c>
      <c r="F17" s="14" t="inlineStr">
        <is>
          <t>BigQuery</t>
        </is>
      </c>
      <c r="G17" s="14" t="inlineStr">
        <is>
          <t>Analysis Slot Usage</t>
        </is>
      </c>
      <c r="H17" s="15" t="n">
        <v>5267.96</v>
      </c>
      <c r="I17" s="13" t="inlineStr">
        <is>
          <t>Active</t>
        </is>
      </c>
    </row>
    <row r="18">
      <c r="A18" s="13" t="inlineStr">
        <is>
          <t>TXN-1400</t>
        </is>
      </c>
      <c r="B18" s="13" t="inlineStr">
        <is>
          <t>2026-09-10</t>
        </is>
      </c>
      <c r="C18" s="13" t="inlineStr">
        <is>
          <t>prj-hardware-and-iot-102</t>
        </is>
      </c>
      <c r="D18" s="14" t="inlineStr">
        <is>
          <t>Hardware &amp; IoT</t>
        </is>
      </c>
      <c r="E18" s="13" t="inlineStr">
        <is>
          <t>southamerica-east1</t>
        </is>
      </c>
      <c r="F18" s="14" t="inlineStr">
        <is>
          <t>Cloud Storage</t>
        </is>
      </c>
      <c r="G18" s="14" t="inlineStr">
        <is>
          <t>Standard Storage GB</t>
        </is>
      </c>
      <c r="H18" s="15" t="n">
        <v>3689.14</v>
      </c>
      <c r="I18" s="13" t="inlineStr">
        <is>
          <t>Active</t>
        </is>
      </c>
    </row>
    <row r="19">
      <c r="A19" s="13" t="inlineStr">
        <is>
          <t>TXN-1319</t>
        </is>
      </c>
      <c r="B19" s="13" t="inlineStr">
        <is>
          <t>2026-09-15</t>
        </is>
      </c>
      <c r="C19" s="13" t="inlineStr">
        <is>
          <t>prj-enterprise-saas-102</t>
        </is>
      </c>
      <c r="D19" s="14" t="inlineStr">
        <is>
          <t>Enterprise SaaS</t>
        </is>
      </c>
      <c r="E19" s="13" t="inlineStr">
        <is>
          <t>europe-west1</t>
        </is>
      </c>
      <c r="F19" s="14" t="inlineStr">
        <is>
          <t>Compute Engine</t>
        </is>
      </c>
      <c r="G19" s="14" t="inlineStr">
        <is>
          <t>N2 Standard 8 vCPU</t>
        </is>
      </c>
      <c r="H19" s="15" t="n">
        <v>6614.06</v>
      </c>
      <c r="I19" s="13" t="inlineStr">
        <is>
          <t>Active</t>
        </is>
      </c>
    </row>
    <row r="20">
      <c r="A20" s="13" t="inlineStr">
        <is>
          <t>TXN-1435</t>
        </is>
      </c>
      <c r="B20" s="13" t="inlineStr">
        <is>
          <t>2026-09-18</t>
        </is>
      </c>
      <c r="C20" s="13" t="inlineStr">
        <is>
          <t>prj-global-logistics-103</t>
        </is>
      </c>
      <c r="D20" s="14" t="inlineStr">
        <is>
          <t>Global Logistics</t>
        </is>
      </c>
      <c r="E20" s="13" t="inlineStr">
        <is>
          <t>us-east4</t>
        </is>
      </c>
      <c r="F20" s="14" t="inlineStr">
        <is>
          <t>Cloud Storage</t>
        </is>
      </c>
      <c r="G20" s="14" t="inlineStr">
        <is>
          <t>Standard Storage GB</t>
        </is>
      </c>
      <c r="H20" s="15" t="n">
        <v>1988.29</v>
      </c>
      <c r="I20" s="13" t="inlineStr">
        <is>
          <t>Active</t>
        </is>
      </c>
    </row>
    <row r="21">
      <c r="A21" s="13" t="inlineStr">
        <is>
          <t>TXN-1146</t>
        </is>
      </c>
      <c r="B21" s="13" t="inlineStr">
        <is>
          <t>2026-09-03</t>
        </is>
      </c>
      <c r="C21" s="13" t="inlineStr">
        <is>
          <t>prj-global-logistics-105</t>
        </is>
      </c>
      <c r="D21" s="14" t="inlineStr">
        <is>
          <t>Global Logistics</t>
        </is>
      </c>
      <c r="E21" s="13" t="inlineStr">
        <is>
          <t>europe-west1</t>
        </is>
      </c>
      <c r="F21" s="14" t="inlineStr">
        <is>
          <t>Cloud Storage</t>
        </is>
      </c>
      <c r="G21" s="14" t="inlineStr">
        <is>
          <t>Standard Storage GB</t>
        </is>
      </c>
      <c r="H21" s="15" t="n">
        <v>1395.17</v>
      </c>
      <c r="I21" s="13" t="inlineStr">
        <is>
          <t>Active</t>
        </is>
      </c>
    </row>
    <row r="22">
      <c r="A22" s="13" t="inlineStr">
        <is>
          <t>TXN-1331</t>
        </is>
      </c>
      <c r="B22" s="13" t="inlineStr">
        <is>
          <t>2026-09-29</t>
        </is>
      </c>
      <c r="C22" s="13" t="inlineStr">
        <is>
          <t>prj-enterprise-saas-104</t>
        </is>
      </c>
      <c r="D22" s="14" t="inlineStr">
        <is>
          <t>Enterprise SaaS</t>
        </is>
      </c>
      <c r="E22" s="13" t="inlineStr">
        <is>
          <t>us-central1</t>
        </is>
      </c>
      <c r="F22" s="14" t="inlineStr">
        <is>
          <t>BigQuery</t>
        </is>
      </c>
      <c r="G22" s="14" t="inlineStr">
        <is>
          <t>Analysis Slot Usage</t>
        </is>
      </c>
      <c r="H22" s="15" t="n">
        <v>9497.77</v>
      </c>
      <c r="I22" s="13" t="inlineStr">
        <is>
          <t>Active</t>
        </is>
      </c>
    </row>
    <row r="23">
      <c r="A23" s="13" t="inlineStr">
        <is>
          <t>TXN-1267</t>
        </is>
      </c>
      <c r="B23" s="13" t="inlineStr">
        <is>
          <t>2026-09-26</t>
        </is>
      </c>
      <c r="C23" s="13" t="inlineStr">
        <is>
          <t>prj-e-commerce-engine-105</t>
        </is>
      </c>
      <c r="D23" s="14" t="inlineStr">
        <is>
          <t>E-Commerce Engine</t>
        </is>
      </c>
      <c r="E23" s="13" t="inlineStr">
        <is>
          <t>europe-west1</t>
        </is>
      </c>
      <c r="F23" s="14" t="inlineStr">
        <is>
          <t>BigQuery</t>
        </is>
      </c>
      <c r="G23" s="14" t="inlineStr">
        <is>
          <t>Analysis Slot Usage</t>
        </is>
      </c>
      <c r="H23" s="15" t="n">
        <v>6615.96</v>
      </c>
      <c r="I23" s="13" t="inlineStr">
        <is>
          <t>Active</t>
        </is>
      </c>
    </row>
    <row r="24">
      <c r="A24" s="13" t="inlineStr">
        <is>
          <t>TXN-1200</t>
        </is>
      </c>
      <c r="B24" s="13" t="inlineStr">
        <is>
          <t>2026-09-03</t>
        </is>
      </c>
      <c r="C24" s="13" t="inlineStr">
        <is>
          <t>prj-global-logistics-105</t>
        </is>
      </c>
      <c r="D24" s="14" t="inlineStr">
        <is>
          <t>Global Logistics</t>
        </is>
      </c>
      <c r="E24" s="13" t="inlineStr">
        <is>
          <t>europe-west1</t>
        </is>
      </c>
      <c r="F24" s="14" t="inlineStr">
        <is>
          <t>Cloud SQL</t>
        </is>
      </c>
      <c r="G24" s="14" t="inlineStr">
        <is>
          <t>PostgreSQL High Availability</t>
        </is>
      </c>
      <c r="H24" s="15" t="n">
        <v>3780.21</v>
      </c>
      <c r="I24" s="13" t="inlineStr">
        <is>
          <t>Active</t>
        </is>
      </c>
    </row>
    <row r="25">
      <c r="A25" s="13" t="inlineStr">
        <is>
          <t>TXN-1064</t>
        </is>
      </c>
      <c r="B25" s="13" t="inlineStr">
        <is>
          <t>2026-09-14</t>
        </is>
      </c>
      <c r="C25" s="13" t="inlineStr">
        <is>
          <t>prj-e-commerce-engine-101</t>
        </is>
      </c>
      <c r="D25" s="14" t="inlineStr">
        <is>
          <t>E-Commerce Engine</t>
        </is>
      </c>
      <c r="E25" s="13" t="inlineStr">
        <is>
          <t>us-central1</t>
        </is>
      </c>
      <c r="F25" s="14" t="inlineStr">
        <is>
          <t>Compute Engine</t>
        </is>
      </c>
      <c r="G25" s="14" t="inlineStr">
        <is>
          <t>N2 Standard 8 vCPU</t>
        </is>
      </c>
      <c r="H25" s="15" t="n">
        <v>7280.2</v>
      </c>
      <c r="I25" s="13" t="inlineStr">
        <is>
          <t>Active</t>
        </is>
      </c>
    </row>
    <row r="26">
      <c r="A26" s="13" t="inlineStr">
        <is>
          <t>TXN-1293</t>
        </is>
      </c>
      <c r="B26" s="13" t="inlineStr">
        <is>
          <t>2026-09-30</t>
        </is>
      </c>
      <c r="C26" s="13" t="inlineStr">
        <is>
          <t>prj-pro-services-104</t>
        </is>
      </c>
      <c r="D26" s="14" t="inlineStr">
        <is>
          <t>Pro Services</t>
        </is>
      </c>
      <c r="E26" s="13" t="inlineStr">
        <is>
          <t>europe-west1</t>
        </is>
      </c>
      <c r="F26" s="14" t="inlineStr">
        <is>
          <t>Cloud SQL</t>
        </is>
      </c>
      <c r="G26" s="14" t="inlineStr">
        <is>
          <t>PostgreSQL High Availability</t>
        </is>
      </c>
      <c r="H26" s="15" t="n">
        <v>4653.72</v>
      </c>
      <c r="I26" s="13" t="inlineStr">
        <is>
          <t>Active</t>
        </is>
      </c>
    </row>
    <row r="27">
      <c r="A27" s="13" t="inlineStr">
        <is>
          <t>TXN-1205</t>
        </is>
      </c>
      <c r="B27" s="13" t="inlineStr">
        <is>
          <t>2026-09-04</t>
        </is>
      </c>
      <c r="C27" s="13" t="inlineStr">
        <is>
          <t>prj-global-logistics-103</t>
        </is>
      </c>
      <c r="D27" s="14" t="inlineStr">
        <is>
          <t>Global Logistics</t>
        </is>
      </c>
      <c r="E27" s="13" t="inlineStr">
        <is>
          <t>us-central1</t>
        </is>
      </c>
      <c r="F27" s="14" t="inlineStr">
        <is>
          <t>Compute Engine</t>
        </is>
      </c>
      <c r="G27" s="14" t="inlineStr">
        <is>
          <t>N2 Standard 8 vCPU</t>
        </is>
      </c>
      <c r="H27" s="15" t="n">
        <v>7483.71</v>
      </c>
      <c r="I27" s="13" t="inlineStr">
        <is>
          <t>Active</t>
        </is>
      </c>
    </row>
    <row r="28">
      <c r="A28" s="13" t="inlineStr">
        <is>
          <t>TXN-1020</t>
        </is>
      </c>
      <c r="B28" s="13" t="inlineStr">
        <is>
          <t>2026-09-25</t>
        </is>
      </c>
      <c r="C28" s="13" t="inlineStr">
        <is>
          <t>prj-enterprise-saas-102</t>
        </is>
      </c>
      <c r="D28" s="14" t="inlineStr">
        <is>
          <t>Enterprise SaaS</t>
        </is>
      </c>
      <c r="E28" s="13" t="inlineStr">
        <is>
          <t>us-central1</t>
        </is>
      </c>
      <c r="F28" s="14" t="inlineStr">
        <is>
          <t>Cloud Storage</t>
        </is>
      </c>
      <c r="G28" s="14" t="inlineStr">
        <is>
          <t>Standard Storage GB</t>
        </is>
      </c>
      <c r="H28" s="15" t="n">
        <v>3259.41</v>
      </c>
      <c r="I28" s="13" t="inlineStr">
        <is>
          <t>Active</t>
        </is>
      </c>
    </row>
    <row r="29">
      <c r="A29" s="13" t="inlineStr">
        <is>
          <t>TXN-1245</t>
        </is>
      </c>
      <c r="B29" s="13" t="inlineStr">
        <is>
          <t>2026-09-09</t>
        </is>
      </c>
      <c r="C29" s="13" t="inlineStr">
        <is>
          <t>prj-global-logistics-103</t>
        </is>
      </c>
      <c r="D29" s="14" t="inlineStr">
        <is>
          <t>Global Logistics</t>
        </is>
      </c>
      <c r="E29" s="13" t="inlineStr">
        <is>
          <t>southamerica-east1</t>
        </is>
      </c>
      <c r="F29" s="14" t="inlineStr">
        <is>
          <t>Compute Engine</t>
        </is>
      </c>
      <c r="G29" s="14" t="inlineStr">
        <is>
          <t>N2 Standard 8 vCPU</t>
        </is>
      </c>
      <c r="H29" s="15" t="n">
        <v>5219.65</v>
      </c>
      <c r="I29" s="13" t="inlineStr">
        <is>
          <t>Active</t>
        </is>
      </c>
    </row>
    <row r="30">
      <c r="A30" s="13" t="inlineStr">
        <is>
          <t>TXN-1053</t>
        </is>
      </c>
      <c r="B30" s="13" t="inlineStr">
        <is>
          <t>2026-09-19</t>
        </is>
      </c>
      <c r="C30" s="13" t="inlineStr">
        <is>
          <t>prj-e-commerce-engine-102</t>
        </is>
      </c>
      <c r="D30" s="14" t="inlineStr">
        <is>
          <t>E-Commerce Engine</t>
        </is>
      </c>
      <c r="E30" s="13" t="inlineStr">
        <is>
          <t>asia-east1</t>
        </is>
      </c>
      <c r="F30" s="14" t="inlineStr">
        <is>
          <t>BigQuery</t>
        </is>
      </c>
      <c r="G30" s="14" t="inlineStr">
        <is>
          <t>Analysis Slot Usage</t>
        </is>
      </c>
      <c r="H30" s="15" t="n">
        <v>7683.49</v>
      </c>
      <c r="I30" s="13" t="inlineStr">
        <is>
          <t>Active</t>
        </is>
      </c>
    </row>
    <row r="31">
      <c r="A31" s="13" t="inlineStr">
        <is>
          <t>TXN-1364</t>
        </is>
      </c>
      <c r="B31" s="13" t="inlineStr">
        <is>
          <t>2026-09-24</t>
        </is>
      </c>
      <c r="C31" s="13" t="inlineStr">
        <is>
          <t>prj-hardware-and-iot-105</t>
        </is>
      </c>
      <c r="D31" s="14" t="inlineStr">
        <is>
          <t>Hardware &amp; IoT</t>
        </is>
      </c>
      <c r="E31" s="13" t="inlineStr">
        <is>
          <t>southamerica-east1</t>
        </is>
      </c>
      <c r="F31" s="14" t="inlineStr">
        <is>
          <t>BigQuery</t>
        </is>
      </c>
      <c r="G31" s="14" t="inlineStr">
        <is>
          <t>Analysis Slot Usage</t>
        </is>
      </c>
      <c r="H31" s="15" t="n">
        <v>8555.59</v>
      </c>
      <c r="I31" s="13" t="inlineStr">
        <is>
          <t>Active</t>
        </is>
      </c>
    </row>
    <row r="32">
      <c r="A32" s="13" t="inlineStr">
        <is>
          <t>TXN-1203</t>
        </is>
      </c>
      <c r="B32" s="13" t="inlineStr">
        <is>
          <t>2026-09-08</t>
        </is>
      </c>
      <c r="C32" s="13" t="inlineStr">
        <is>
          <t>prj-pro-services-105</t>
        </is>
      </c>
      <c r="D32" s="14" t="inlineStr">
        <is>
          <t>Pro Services</t>
        </is>
      </c>
      <c r="E32" s="13" t="inlineStr">
        <is>
          <t>us-central1</t>
        </is>
      </c>
      <c r="F32" s="14" t="inlineStr">
        <is>
          <t>Google Kubernetes Engine</t>
        </is>
      </c>
      <c r="G32" s="14" t="inlineStr">
        <is>
          <t>Autopilot Pod Compute</t>
        </is>
      </c>
      <c r="H32" s="15" t="n">
        <v>6968.04</v>
      </c>
      <c r="I32" s="13" t="inlineStr">
        <is>
          <t>Active</t>
        </is>
      </c>
    </row>
    <row r="33">
      <c r="A33" s="13" t="inlineStr">
        <is>
          <t>TXN-1122</t>
        </is>
      </c>
      <c r="B33" s="13" t="inlineStr">
        <is>
          <t>2026-09-21</t>
        </is>
      </c>
      <c r="C33" s="13" t="inlineStr">
        <is>
          <t>prj-hardware-and-iot-104</t>
        </is>
      </c>
      <c r="D33" s="14" t="inlineStr">
        <is>
          <t>Hardware &amp; IoT</t>
        </is>
      </c>
      <c r="E33" s="13" t="inlineStr">
        <is>
          <t>southamerica-east1</t>
        </is>
      </c>
      <c r="F33" s="14" t="inlineStr">
        <is>
          <t>Google Kubernetes Engine</t>
        </is>
      </c>
      <c r="G33" s="14" t="inlineStr">
        <is>
          <t>Autopilot Pod Compute</t>
        </is>
      </c>
      <c r="H33" s="15" t="n">
        <v>7789.24</v>
      </c>
      <c r="I33" s="13" t="inlineStr">
        <is>
          <t>Active</t>
        </is>
      </c>
    </row>
    <row r="34">
      <c r="A34" s="13" t="inlineStr">
        <is>
          <t>TXN-1371</t>
        </is>
      </c>
      <c r="B34" s="13" t="inlineStr">
        <is>
          <t>2026-09-11</t>
        </is>
      </c>
      <c r="C34" s="13" t="inlineStr">
        <is>
          <t>prj-pro-services-102</t>
        </is>
      </c>
      <c r="D34" s="14" t="inlineStr">
        <is>
          <t>Pro Services</t>
        </is>
      </c>
      <c r="E34" s="13" t="inlineStr">
        <is>
          <t>europe-west1</t>
        </is>
      </c>
      <c r="F34" s="14" t="inlineStr">
        <is>
          <t>Cloud SQL</t>
        </is>
      </c>
      <c r="G34" s="14" t="inlineStr">
        <is>
          <t>PostgreSQL High Availability</t>
        </is>
      </c>
      <c r="H34" s="15" t="n">
        <v>3936.32</v>
      </c>
      <c r="I34" s="13" t="inlineStr">
        <is>
          <t>Active</t>
        </is>
      </c>
    </row>
    <row r="35">
      <c r="A35" s="13" t="inlineStr">
        <is>
          <t>TXN-1344</t>
        </is>
      </c>
      <c r="B35" s="13" t="inlineStr">
        <is>
          <t>2026-09-26</t>
        </is>
      </c>
      <c r="C35" s="13" t="inlineStr">
        <is>
          <t>prj-pro-services-101</t>
        </is>
      </c>
      <c r="D35" s="14" t="inlineStr">
        <is>
          <t>Pro Services</t>
        </is>
      </c>
      <c r="E35" s="13" t="inlineStr">
        <is>
          <t>asia-east1</t>
        </is>
      </c>
      <c r="F35" s="14" t="inlineStr">
        <is>
          <t>Cloud SQL</t>
        </is>
      </c>
      <c r="G35" s="14" t="inlineStr">
        <is>
          <t>PostgreSQL High Availability</t>
        </is>
      </c>
      <c r="H35" s="15" t="n">
        <v>4910.15</v>
      </c>
      <c r="I35" s="13" t="inlineStr">
        <is>
          <t>Active</t>
        </is>
      </c>
    </row>
    <row r="36">
      <c r="A36" s="13" t="inlineStr">
        <is>
          <t>TXN-1397</t>
        </is>
      </c>
      <c r="B36" s="13" t="inlineStr">
        <is>
          <t>2026-09-09</t>
        </is>
      </c>
      <c r="C36" s="13" t="inlineStr">
        <is>
          <t>prj-hardware-and-iot-105</t>
        </is>
      </c>
      <c r="D36" s="14" t="inlineStr">
        <is>
          <t>Hardware &amp; IoT</t>
        </is>
      </c>
      <c r="E36" s="13" t="inlineStr">
        <is>
          <t>asia-east1</t>
        </is>
      </c>
      <c r="F36" s="14" t="inlineStr">
        <is>
          <t>Google Kubernetes Engine</t>
        </is>
      </c>
      <c r="G36" s="14" t="inlineStr">
        <is>
          <t>Autopilot Pod Compute</t>
        </is>
      </c>
      <c r="H36" s="15" t="n">
        <v>5068.61</v>
      </c>
      <c r="I36" s="13" t="inlineStr">
        <is>
          <t>Active</t>
        </is>
      </c>
    </row>
    <row r="37">
      <c r="A37" s="13" t="inlineStr">
        <is>
          <t>TXN-1452</t>
        </is>
      </c>
      <c r="B37" s="13" t="inlineStr">
        <is>
          <t>2026-09-17</t>
        </is>
      </c>
      <c r="C37" s="13" t="inlineStr">
        <is>
          <t>prj-hardware-and-iot-101</t>
        </is>
      </c>
      <c r="D37" s="14" t="inlineStr">
        <is>
          <t>Hardware &amp; IoT</t>
        </is>
      </c>
      <c r="E37" s="13" t="inlineStr">
        <is>
          <t>southamerica-east1</t>
        </is>
      </c>
      <c r="F37" s="14" t="inlineStr">
        <is>
          <t>BigQuery</t>
        </is>
      </c>
      <c r="G37" s="14" t="inlineStr">
        <is>
          <t>Analysis Slot Usage</t>
        </is>
      </c>
      <c r="H37" s="15" t="n">
        <v>6762.19</v>
      </c>
      <c r="I37" s="13" t="inlineStr">
        <is>
          <t>Active</t>
        </is>
      </c>
    </row>
    <row r="38">
      <c r="A38" s="13" t="inlineStr">
        <is>
          <t>TXN-1392</t>
        </is>
      </c>
      <c r="B38" s="13" t="inlineStr">
        <is>
          <t>2026-09-04</t>
        </is>
      </c>
      <c r="C38" s="13" t="inlineStr">
        <is>
          <t>prj-hardware-and-iot-103</t>
        </is>
      </c>
      <c r="D38" s="14" t="inlineStr">
        <is>
          <t>Hardware &amp; IoT</t>
        </is>
      </c>
      <c r="E38" s="13" t="inlineStr">
        <is>
          <t>europe-west1</t>
        </is>
      </c>
      <c r="F38" s="14" t="inlineStr">
        <is>
          <t>Cloud SQL</t>
        </is>
      </c>
      <c r="G38" s="14" t="inlineStr">
        <is>
          <t>PostgreSQL High Availability</t>
        </is>
      </c>
      <c r="H38" s="15" t="n">
        <v>5015.09</v>
      </c>
      <c r="I38" s="13" t="inlineStr">
        <is>
          <t>Active</t>
        </is>
      </c>
    </row>
    <row r="39">
      <c r="A39" s="13" t="inlineStr">
        <is>
          <t>TXN-9905</t>
        </is>
      </c>
      <c r="B39" s="13" t="inlineStr">
        <is>
          <t>2026-09-27</t>
        </is>
      </c>
      <c r="C39" s="13" t="inlineStr">
        <is>
          <t>prj-pro-services-105</t>
        </is>
      </c>
      <c r="D39" s="14" t="inlineStr">
        <is>
          <t>Pro Services</t>
        </is>
      </c>
      <c r="E39" s="13" t="inlineStr">
        <is>
          <t>us-central1</t>
        </is>
      </c>
      <c r="F39" s="14" t="inlineStr">
        <is>
          <t>BigQuery</t>
        </is>
      </c>
      <c r="G39" s="14" t="inlineStr">
        <is>
          <t>Unindexed Full Table Scan Loop</t>
        </is>
      </c>
      <c r="H39" s="15" t="n">
        <v>61000</v>
      </c>
      <c r="I39" s="13" t="inlineStr">
        <is>
          <t>Active</t>
        </is>
      </c>
    </row>
    <row r="40">
      <c r="A40" s="13" t="inlineStr">
        <is>
          <t>TXN-1224</t>
        </is>
      </c>
      <c r="B40" s="13" t="inlineStr">
        <is>
          <t>2026-09-03</t>
        </is>
      </c>
      <c r="C40" s="13" t="inlineStr">
        <is>
          <t>prj-global-logistics-105</t>
        </is>
      </c>
      <c r="D40" s="14" t="inlineStr">
        <is>
          <t>Global Logistics</t>
        </is>
      </c>
      <c r="E40" s="13" t="inlineStr">
        <is>
          <t>asia-east1</t>
        </is>
      </c>
      <c r="F40" s="14" t="inlineStr">
        <is>
          <t>Google Kubernetes Engine</t>
        </is>
      </c>
      <c r="G40" s="14" t="inlineStr">
        <is>
          <t>Autopilot Pod Compute</t>
        </is>
      </c>
      <c r="H40" s="15" t="n">
        <v>8290.139999999999</v>
      </c>
      <c r="I40" s="13" t="inlineStr">
        <is>
          <t>Active</t>
        </is>
      </c>
    </row>
    <row r="41">
      <c r="A41" s="13" t="inlineStr">
        <is>
          <t>TXN-1306</t>
        </is>
      </c>
      <c r="B41" s="13" t="inlineStr">
        <is>
          <t>2026-09-16</t>
        </is>
      </c>
      <c r="C41" s="13" t="inlineStr">
        <is>
          <t>prj-global-logistics-104</t>
        </is>
      </c>
      <c r="D41" s="14" t="inlineStr">
        <is>
          <t>Global Logistics</t>
        </is>
      </c>
      <c r="E41" s="13" t="inlineStr">
        <is>
          <t>europe-west1</t>
        </is>
      </c>
      <c r="F41" s="14" t="inlineStr">
        <is>
          <t>Compute Engine</t>
        </is>
      </c>
      <c r="G41" s="14" t="inlineStr">
        <is>
          <t>N2 Standard 8 vCPU</t>
        </is>
      </c>
      <c r="H41" s="15" t="n">
        <v>3647.94</v>
      </c>
      <c r="I41" s="13" t="inlineStr">
        <is>
          <t>Active</t>
        </is>
      </c>
    </row>
    <row r="42">
      <c r="A42" s="13" t="inlineStr">
        <is>
          <t>TXN-1380</t>
        </is>
      </c>
      <c r="B42" s="13" t="inlineStr">
        <is>
          <t>2026-09-23</t>
        </is>
      </c>
      <c r="C42" s="13" t="inlineStr">
        <is>
          <t>prj-enterprise-saas-103</t>
        </is>
      </c>
      <c r="D42" s="14" t="inlineStr">
        <is>
          <t>Enterprise SaaS</t>
        </is>
      </c>
      <c r="E42" s="13" t="inlineStr">
        <is>
          <t>asia-east1</t>
        </is>
      </c>
      <c r="F42" s="14" t="inlineStr">
        <is>
          <t>Cloud SQL</t>
        </is>
      </c>
      <c r="G42" s="14" t="inlineStr">
        <is>
          <t>PostgreSQL High Availability</t>
        </is>
      </c>
      <c r="H42" s="15" t="n">
        <v>5115.68</v>
      </c>
      <c r="I42" s="13" t="inlineStr">
        <is>
          <t>Active</t>
        </is>
      </c>
    </row>
    <row r="43">
      <c r="A43" s="13" t="inlineStr">
        <is>
          <t>TXN-1237</t>
        </is>
      </c>
      <c r="B43" s="13" t="inlineStr">
        <is>
          <t>2026-09-27</t>
        </is>
      </c>
      <c r="C43" s="13" t="inlineStr">
        <is>
          <t>prj-e-commerce-engine-101</t>
        </is>
      </c>
      <c r="D43" s="14" t="inlineStr">
        <is>
          <t>E-Commerce Engine</t>
        </is>
      </c>
      <c r="E43" s="13" t="inlineStr">
        <is>
          <t>southamerica-east1</t>
        </is>
      </c>
      <c r="F43" s="14" t="inlineStr">
        <is>
          <t>Google Kubernetes Engine</t>
        </is>
      </c>
      <c r="G43" s="14" t="inlineStr">
        <is>
          <t>Autopilot Pod Compute</t>
        </is>
      </c>
      <c r="H43" s="15" t="n">
        <v>8653.969999999999</v>
      </c>
      <c r="I43" s="13" t="inlineStr">
        <is>
          <t>Active</t>
        </is>
      </c>
    </row>
    <row r="44">
      <c r="A44" s="13" t="inlineStr">
        <is>
          <t>TXN-1317</t>
        </is>
      </c>
      <c r="B44" s="13" t="inlineStr">
        <is>
          <t>2026-09-26</t>
        </is>
      </c>
      <c r="C44" s="13" t="inlineStr">
        <is>
          <t>prj-enterprise-saas-103</t>
        </is>
      </c>
      <c r="D44" s="14" t="inlineStr">
        <is>
          <t>Enterprise SaaS</t>
        </is>
      </c>
      <c r="E44" s="13" t="inlineStr">
        <is>
          <t>us-central1</t>
        </is>
      </c>
      <c r="F44" s="14" t="inlineStr">
        <is>
          <t>Cloud SQL</t>
        </is>
      </c>
      <c r="G44" s="14" t="inlineStr">
        <is>
          <t>PostgreSQL High Availability</t>
        </is>
      </c>
      <c r="H44" s="15" t="n">
        <v>4295.8</v>
      </c>
      <c r="I44" s="13" t="inlineStr">
        <is>
          <t>Active</t>
        </is>
      </c>
    </row>
    <row r="45">
      <c r="A45" s="13" t="inlineStr">
        <is>
          <t>TXN-1448</t>
        </is>
      </c>
      <c r="B45" s="13" t="inlineStr">
        <is>
          <t>2026-09-03</t>
        </is>
      </c>
      <c r="C45" s="13" t="inlineStr">
        <is>
          <t>prj-enterprise-saas-102</t>
        </is>
      </c>
      <c r="D45" s="14" t="inlineStr">
        <is>
          <t>Enterprise SaaS</t>
        </is>
      </c>
      <c r="E45" s="13" t="inlineStr">
        <is>
          <t>us-central1</t>
        </is>
      </c>
      <c r="F45" s="14" t="inlineStr">
        <is>
          <t>Cloud SQL</t>
        </is>
      </c>
      <c r="G45" s="14" t="inlineStr">
        <is>
          <t>PostgreSQL High Availability</t>
        </is>
      </c>
      <c r="H45" s="15" t="n">
        <v>5448.91</v>
      </c>
      <c r="I45" s="13" t="inlineStr">
        <is>
          <t>Active</t>
        </is>
      </c>
    </row>
    <row r="46">
      <c r="A46" s="13" t="inlineStr">
        <is>
          <t>TXN-1394</t>
        </is>
      </c>
      <c r="B46" s="13" t="inlineStr">
        <is>
          <t>2026-09-28</t>
        </is>
      </c>
      <c r="C46" s="13" t="inlineStr">
        <is>
          <t>prj-pro-services-103</t>
        </is>
      </c>
      <c r="D46" s="14" t="inlineStr">
        <is>
          <t>Pro Services</t>
        </is>
      </c>
      <c r="E46" s="13" t="inlineStr">
        <is>
          <t>us-east4</t>
        </is>
      </c>
      <c r="F46" s="14" t="inlineStr">
        <is>
          <t>Google Kubernetes Engine</t>
        </is>
      </c>
      <c r="G46" s="14" t="inlineStr">
        <is>
          <t>Autopilot Pod Compute</t>
        </is>
      </c>
      <c r="H46" s="15" t="n">
        <v>5520.43</v>
      </c>
      <c r="I46" s="13" t="inlineStr">
        <is>
          <t>Active</t>
        </is>
      </c>
    </row>
    <row r="47">
      <c r="A47" s="13" t="inlineStr">
        <is>
          <t>TXN-1247</t>
        </is>
      </c>
      <c r="B47" s="13" t="inlineStr">
        <is>
          <t>2026-09-13</t>
        </is>
      </c>
      <c r="C47" s="13" t="inlineStr">
        <is>
          <t>prj-e-commerce-engine-102</t>
        </is>
      </c>
      <c r="D47" s="14" t="inlineStr">
        <is>
          <t>E-Commerce Engine</t>
        </is>
      </c>
      <c r="E47" s="13" t="inlineStr">
        <is>
          <t>us-central1</t>
        </is>
      </c>
      <c r="F47" s="14" t="inlineStr">
        <is>
          <t>Compute Engine</t>
        </is>
      </c>
      <c r="G47" s="14" t="inlineStr">
        <is>
          <t>N2 Standard 8 vCPU</t>
        </is>
      </c>
      <c r="H47" s="15" t="n">
        <v>4705.68</v>
      </c>
      <c r="I47" s="13" t="inlineStr">
        <is>
          <t>Active</t>
        </is>
      </c>
    </row>
    <row r="48">
      <c r="A48" s="13" t="inlineStr">
        <is>
          <t>TXN-1257</t>
        </is>
      </c>
      <c r="B48" s="13" t="inlineStr">
        <is>
          <t>2026-09-06</t>
        </is>
      </c>
      <c r="C48" s="13" t="inlineStr">
        <is>
          <t>prj-enterprise-saas-105</t>
        </is>
      </c>
      <c r="D48" s="14" t="inlineStr">
        <is>
          <t>Enterprise SaaS</t>
        </is>
      </c>
      <c r="E48" s="13" t="inlineStr">
        <is>
          <t>southamerica-east1</t>
        </is>
      </c>
      <c r="F48" s="14" t="inlineStr">
        <is>
          <t>Compute Engine</t>
        </is>
      </c>
      <c r="G48" s="14" t="inlineStr">
        <is>
          <t>N2 Standard 8 vCPU</t>
        </is>
      </c>
      <c r="H48" s="15" t="n">
        <v>5539.81</v>
      </c>
      <c r="I48" s="13" t="inlineStr">
        <is>
          <t>Active</t>
        </is>
      </c>
    </row>
    <row r="49">
      <c r="A49" s="13" t="inlineStr">
        <is>
          <t>TXN-1120</t>
        </is>
      </c>
      <c r="B49" s="13" t="inlineStr">
        <is>
          <t>2026-09-14</t>
        </is>
      </c>
      <c r="C49" s="13" t="inlineStr">
        <is>
          <t>prj-pro-services-103</t>
        </is>
      </c>
      <c r="D49" s="14" t="inlineStr">
        <is>
          <t>Pro Services</t>
        </is>
      </c>
      <c r="E49" s="13" t="inlineStr">
        <is>
          <t>us-central1</t>
        </is>
      </c>
      <c r="F49" s="14" t="inlineStr">
        <is>
          <t>Cloud SQL</t>
        </is>
      </c>
      <c r="G49" s="14" t="inlineStr">
        <is>
          <t>PostgreSQL High Availability</t>
        </is>
      </c>
      <c r="H49" s="15" t="n">
        <v>4724.55</v>
      </c>
      <c r="I49" s="13" t="inlineStr">
        <is>
          <t>Active</t>
        </is>
      </c>
    </row>
    <row r="50">
      <c r="A50" s="13" t="inlineStr">
        <is>
          <t>TXN-1216</t>
        </is>
      </c>
      <c r="B50" s="13" t="inlineStr">
        <is>
          <t>2026-09-05</t>
        </is>
      </c>
      <c r="C50" s="13" t="inlineStr">
        <is>
          <t>prj-global-logistics-102</t>
        </is>
      </c>
      <c r="D50" s="14" t="inlineStr">
        <is>
          <t>Global Logistics</t>
        </is>
      </c>
      <c r="E50" s="13" t="inlineStr">
        <is>
          <t>southamerica-east1</t>
        </is>
      </c>
      <c r="F50" s="14" t="inlineStr">
        <is>
          <t>BigQuery</t>
        </is>
      </c>
      <c r="G50" s="14" t="inlineStr">
        <is>
          <t>Analysis Slot Usage</t>
        </is>
      </c>
      <c r="H50" s="15" t="n">
        <v>4604.59</v>
      </c>
      <c r="I50" s="13" t="inlineStr">
        <is>
          <t>Active</t>
        </is>
      </c>
    </row>
    <row r="51">
      <c r="A51" s="13" t="inlineStr">
        <is>
          <t>TXN-1431</t>
        </is>
      </c>
      <c r="B51" s="13" t="inlineStr">
        <is>
          <t>2026-09-14</t>
        </is>
      </c>
      <c r="C51" s="13" t="inlineStr">
        <is>
          <t>prj-e-commerce-engine-104</t>
        </is>
      </c>
      <c r="D51" s="14" t="inlineStr"/>
      <c r="E51" s="13" t="inlineStr">
        <is>
          <t>southamerica-east1</t>
        </is>
      </c>
      <c r="F51" s="14" t="inlineStr">
        <is>
          <t>Cloud Storage</t>
        </is>
      </c>
      <c r="G51" s="14" t="inlineStr">
        <is>
          <t>Standard Storage GB</t>
        </is>
      </c>
      <c r="H51" s="15" t="n">
        <v>1831.43</v>
      </c>
      <c r="I51" s="13" t="inlineStr">
        <is>
          <t>Active</t>
        </is>
      </c>
    </row>
    <row r="52">
      <c r="A52" s="13" t="inlineStr">
        <is>
          <t>TXN-9901</t>
        </is>
      </c>
      <c r="B52" s="13" t="inlineStr">
        <is>
          <t>2026-09-08</t>
        </is>
      </c>
      <c r="C52" s="13" t="inlineStr">
        <is>
          <t>prj-enterprise-saas-101</t>
        </is>
      </c>
      <c r="D52" s="14" t="inlineStr">
        <is>
          <t>Enterprise SaaS</t>
        </is>
      </c>
      <c r="E52" s="13" t="inlineStr">
        <is>
          <t>us-central1</t>
        </is>
      </c>
      <c r="F52" s="14" t="inlineStr">
        <is>
          <t>BigQuery</t>
        </is>
      </c>
      <c r="G52" s="14" t="inlineStr">
        <is>
          <t>Slot Reservation Spike Anomaly</t>
        </is>
      </c>
      <c r="H52" s="15" t="n">
        <v>68500</v>
      </c>
      <c r="I52" s="13" t="inlineStr">
        <is>
          <t>Active</t>
        </is>
      </c>
    </row>
    <row r="53">
      <c r="A53" s="13" t="inlineStr">
        <is>
          <t>TXN-1130</t>
        </is>
      </c>
      <c r="B53" s="13" t="inlineStr">
        <is>
          <t>2026-09-08</t>
        </is>
      </c>
      <c r="C53" s="13" t="inlineStr">
        <is>
          <t>prj-pro-services-105</t>
        </is>
      </c>
      <c r="D53" s="14" t="inlineStr">
        <is>
          <t>Pro Services</t>
        </is>
      </c>
      <c r="E53" s="13" t="inlineStr">
        <is>
          <t>europe-west1</t>
        </is>
      </c>
      <c r="F53" s="14" t="inlineStr">
        <is>
          <t>BigQuery</t>
        </is>
      </c>
      <c r="G53" s="14" t="inlineStr">
        <is>
          <t>Analysis Slot Usage</t>
        </is>
      </c>
      <c r="H53" s="15" t="n">
        <v>6029.61</v>
      </c>
      <c r="I53" s="13" t="inlineStr">
        <is>
          <t>Active</t>
        </is>
      </c>
    </row>
    <row r="54">
      <c r="A54" s="13" t="inlineStr">
        <is>
          <t>TXN-1084</t>
        </is>
      </c>
      <c r="B54" s="13" t="inlineStr">
        <is>
          <t>2026-09-27</t>
        </is>
      </c>
      <c r="C54" s="13" t="inlineStr">
        <is>
          <t>prj-enterprise-saas-102</t>
        </is>
      </c>
      <c r="D54" s="14" t="inlineStr">
        <is>
          <t>Enterprise SaaS</t>
        </is>
      </c>
      <c r="E54" s="13" t="inlineStr">
        <is>
          <t>asia-east1</t>
        </is>
      </c>
      <c r="F54" s="14" t="inlineStr">
        <is>
          <t>BigQuery</t>
        </is>
      </c>
      <c r="G54" s="14" t="inlineStr">
        <is>
          <t>Analysis Slot Usage</t>
        </is>
      </c>
      <c r="H54" s="15" t="n">
        <v>6364.38</v>
      </c>
      <c r="I54" s="13" t="inlineStr">
        <is>
          <t>Active</t>
        </is>
      </c>
    </row>
    <row r="55">
      <c r="A55" s="13" t="inlineStr">
        <is>
          <t>TXN-1219</t>
        </is>
      </c>
      <c r="B55" s="13" t="inlineStr">
        <is>
          <t>2026-09-05</t>
        </is>
      </c>
      <c r="C55" s="13" t="inlineStr">
        <is>
          <t>prj-pro-services-101</t>
        </is>
      </c>
      <c r="D55" s="14" t="inlineStr">
        <is>
          <t>Pro Services</t>
        </is>
      </c>
      <c r="E55" s="13" t="inlineStr">
        <is>
          <t>southamerica-east1</t>
        </is>
      </c>
      <c r="F55" s="14" t="inlineStr">
        <is>
          <t>Compute Engine</t>
        </is>
      </c>
      <c r="G55" s="14" t="inlineStr">
        <is>
          <t>N2 Standard 8 vCPU</t>
        </is>
      </c>
      <c r="H55" s="15" t="n">
        <v>5404.98</v>
      </c>
      <c r="I55" s="13" t="inlineStr">
        <is>
          <t>Active</t>
        </is>
      </c>
    </row>
    <row r="56">
      <c r="A56" s="13" t="inlineStr">
        <is>
          <t>TXN-1420</t>
        </is>
      </c>
      <c r="B56" s="13" t="inlineStr">
        <is>
          <t>2026-09-29</t>
        </is>
      </c>
      <c r="C56" s="13" t="inlineStr">
        <is>
          <t>prj-enterprise-saas-101</t>
        </is>
      </c>
      <c r="D56" s="14" t="inlineStr">
        <is>
          <t>Enterprise SaaS</t>
        </is>
      </c>
      <c r="E56" s="13" t="inlineStr">
        <is>
          <t>europe-west1</t>
        </is>
      </c>
      <c r="F56" s="14" t="inlineStr">
        <is>
          <t>Cloud Storage</t>
        </is>
      </c>
      <c r="G56" s="14" t="inlineStr">
        <is>
          <t>Standard Storage GB</t>
        </is>
      </c>
      <c r="H56" s="15" t="n">
        <v>1462.33</v>
      </c>
      <c r="I56" s="13" t="inlineStr">
        <is>
          <t>Active</t>
        </is>
      </c>
    </row>
    <row r="57">
      <c r="A57" s="13" t="inlineStr">
        <is>
          <t>TXN-1212</t>
        </is>
      </c>
      <c r="B57" s="13" t="inlineStr">
        <is>
          <t>2026-09-04</t>
        </is>
      </c>
      <c r="C57" s="13" t="inlineStr">
        <is>
          <t>prj-pro-services-105</t>
        </is>
      </c>
      <c r="D57" s="14" t="inlineStr">
        <is>
          <t>Pro Services</t>
        </is>
      </c>
      <c r="E57" s="13" t="inlineStr">
        <is>
          <t>us-central1</t>
        </is>
      </c>
      <c r="F57" s="14" t="inlineStr">
        <is>
          <t>Cloud Storage</t>
        </is>
      </c>
      <c r="G57" s="14" t="inlineStr">
        <is>
          <t>Standard Storage GB</t>
        </is>
      </c>
      <c r="H57" s="15" t="n">
        <v>3724.84</v>
      </c>
      <c r="I57" s="13" t="inlineStr">
        <is>
          <t>Active</t>
        </is>
      </c>
    </row>
    <row r="58">
      <c r="A58" s="13" t="inlineStr">
        <is>
          <t>TXN-1321</t>
        </is>
      </c>
      <c r="B58" s="13" t="inlineStr">
        <is>
          <t>2026-09-22</t>
        </is>
      </c>
      <c r="C58" s="13" t="inlineStr">
        <is>
          <t>prj-pro-services-104</t>
        </is>
      </c>
      <c r="D58" s="14" t="inlineStr">
        <is>
          <t>Pro Services</t>
        </is>
      </c>
      <c r="E58" s="13" t="inlineStr">
        <is>
          <t>asia-east1</t>
        </is>
      </c>
      <c r="F58" s="14" t="inlineStr">
        <is>
          <t>BigQuery</t>
        </is>
      </c>
      <c r="G58" s="14" t="inlineStr">
        <is>
          <t>Analysis Slot Usage</t>
        </is>
      </c>
      <c r="H58" s="15" t="n">
        <v>8196.959999999999</v>
      </c>
      <c r="I58" s="13" t="inlineStr">
        <is>
          <t>Active</t>
        </is>
      </c>
    </row>
    <row r="59">
      <c r="A59" s="13" t="inlineStr">
        <is>
          <t>TXN-1139</t>
        </is>
      </c>
      <c r="B59" s="13" t="inlineStr">
        <is>
          <t>2026-09-16</t>
        </is>
      </c>
      <c r="C59" s="13" t="inlineStr">
        <is>
          <t>prj-pro-services-102</t>
        </is>
      </c>
      <c r="D59" s="14" t="inlineStr">
        <is>
          <t>Pro Services</t>
        </is>
      </c>
      <c r="E59" s="13" t="inlineStr">
        <is>
          <t>us-east4</t>
        </is>
      </c>
      <c r="F59" s="14" t="inlineStr">
        <is>
          <t>BigQuery</t>
        </is>
      </c>
      <c r="G59" s="14" t="inlineStr">
        <is>
          <t>Analysis Slot Usage</t>
        </is>
      </c>
      <c r="H59" s="15" t="n">
        <v>9310.24</v>
      </c>
      <c r="I59" s="13" t="inlineStr">
        <is>
          <t>Active</t>
        </is>
      </c>
    </row>
    <row r="60">
      <c r="A60" s="13" t="inlineStr">
        <is>
          <t>TXN-1055</t>
        </is>
      </c>
      <c r="B60" s="13" t="inlineStr">
        <is>
          <t>2026-09-10</t>
        </is>
      </c>
      <c r="C60" s="13" t="inlineStr">
        <is>
          <t>prj-pro-services-101</t>
        </is>
      </c>
      <c r="D60" s="14" t="inlineStr">
        <is>
          <t>Pro Services</t>
        </is>
      </c>
      <c r="E60" s="13" t="inlineStr">
        <is>
          <t>asia-east1</t>
        </is>
      </c>
      <c r="F60" s="14" t="inlineStr">
        <is>
          <t>Compute Engine</t>
        </is>
      </c>
      <c r="G60" s="14" t="inlineStr">
        <is>
          <t>N2 Standard 8 vCPU</t>
        </is>
      </c>
      <c r="H60" s="15" t="n">
        <v>5333.14</v>
      </c>
      <c r="I60" s="13" t="inlineStr">
        <is>
          <t>Active</t>
        </is>
      </c>
    </row>
    <row r="61">
      <c r="A61" s="13" t="inlineStr">
        <is>
          <t>TXN-1189</t>
        </is>
      </c>
      <c r="B61" s="13" t="inlineStr">
        <is>
          <t>2026-09-12</t>
        </is>
      </c>
      <c r="C61" s="13" t="inlineStr">
        <is>
          <t>prj-e-commerce-engine-103</t>
        </is>
      </c>
      <c r="D61" s="14" t="inlineStr">
        <is>
          <t>E-Commerce Engine</t>
        </is>
      </c>
      <c r="E61" s="13" t="inlineStr">
        <is>
          <t>asia-east1</t>
        </is>
      </c>
      <c r="F61" s="14" t="inlineStr">
        <is>
          <t>Cloud SQL</t>
        </is>
      </c>
      <c r="G61" s="14" t="inlineStr">
        <is>
          <t>PostgreSQL High Availability</t>
        </is>
      </c>
      <c r="H61" s="15" t="n">
        <v>4098.93</v>
      </c>
      <c r="I61" s="13" t="inlineStr">
        <is>
          <t>Active</t>
        </is>
      </c>
    </row>
    <row r="62">
      <c r="A62" s="13" t="inlineStr">
        <is>
          <t>TXN-1246</t>
        </is>
      </c>
      <c r="B62" s="13" t="inlineStr">
        <is>
          <t>2026-09-10</t>
        </is>
      </c>
      <c r="C62" s="13" t="inlineStr">
        <is>
          <t>prj-e-commerce-engine-103</t>
        </is>
      </c>
      <c r="D62" s="14" t="inlineStr">
        <is>
          <t>E-Commerce Engine</t>
        </is>
      </c>
      <c r="E62" s="13" t="inlineStr">
        <is>
          <t>us-east4</t>
        </is>
      </c>
      <c r="F62" s="14" t="inlineStr">
        <is>
          <t>Google Kubernetes Engine</t>
        </is>
      </c>
      <c r="G62" s="14" t="inlineStr">
        <is>
          <t>Promotional Credit / Outage SLA Refund</t>
        </is>
      </c>
      <c r="H62" s="15" t="n">
        <v>-1679.89</v>
      </c>
      <c r="I62" s="13" t="inlineStr">
        <is>
          <t>Active</t>
        </is>
      </c>
    </row>
    <row r="63">
      <c r="A63" s="13" t="inlineStr">
        <is>
          <t>TXN-1214</t>
        </is>
      </c>
      <c r="B63" s="13" t="inlineStr">
        <is>
          <t>2026-09-27</t>
        </is>
      </c>
      <c r="C63" s="13" t="inlineStr">
        <is>
          <t>prj-e-commerce-engine-102</t>
        </is>
      </c>
      <c r="D63" s="14" t="inlineStr">
        <is>
          <t>E-Commerce Engine</t>
        </is>
      </c>
      <c r="E63" s="13" t="inlineStr">
        <is>
          <t>europe-west1</t>
        </is>
      </c>
      <c r="F63" s="14" t="inlineStr">
        <is>
          <t>Google Kubernetes Engine</t>
        </is>
      </c>
      <c r="G63" s="14" t="inlineStr">
        <is>
          <t>Autopilot Pod Compute</t>
        </is>
      </c>
      <c r="H63" s="15" t="n">
        <v>9878.32</v>
      </c>
      <c r="I63" s="13" t="inlineStr">
        <is>
          <t>Active</t>
        </is>
      </c>
    </row>
    <row r="64">
      <c r="A64" s="13" t="inlineStr">
        <is>
          <t>TXN-1197</t>
        </is>
      </c>
      <c r="B64" s="13" t="inlineStr">
        <is>
          <t>2026-09-11</t>
        </is>
      </c>
      <c r="C64" s="13" t="inlineStr">
        <is>
          <t>prj-pro-services-102</t>
        </is>
      </c>
      <c r="D64" s="14" t="inlineStr">
        <is>
          <t>Pro Services</t>
        </is>
      </c>
      <c r="E64" s="13" t="inlineStr">
        <is>
          <t>europe-west1</t>
        </is>
      </c>
      <c r="F64" s="14" t="inlineStr">
        <is>
          <t>Cloud Storage</t>
        </is>
      </c>
      <c r="G64" s="14" t="inlineStr">
        <is>
          <t>Standard Storage GB</t>
        </is>
      </c>
      <c r="H64" s="15" t="n">
        <v>3244.93</v>
      </c>
      <c r="I64" s="13" t="inlineStr">
        <is>
          <t>Active</t>
        </is>
      </c>
    </row>
    <row r="65">
      <c r="A65" s="13" t="inlineStr">
        <is>
          <t>TXN-1468</t>
        </is>
      </c>
      <c r="B65" s="13" t="inlineStr">
        <is>
          <t>2026-09-12</t>
        </is>
      </c>
      <c r="C65" s="13" t="inlineStr">
        <is>
          <t>prj-e-commerce-engine-102</t>
        </is>
      </c>
      <c r="D65" s="14" t="inlineStr">
        <is>
          <t>E-Commerce Engine</t>
        </is>
      </c>
      <c r="E65" s="13" t="inlineStr">
        <is>
          <t>us-east4</t>
        </is>
      </c>
      <c r="F65" s="14" t="inlineStr">
        <is>
          <t>Cloud SQL</t>
        </is>
      </c>
      <c r="G65" s="14" t="inlineStr">
        <is>
          <t>PostgreSQL High Availability</t>
        </is>
      </c>
      <c r="H65" s="15" t="n">
        <v>4878.93</v>
      </c>
      <c r="I65" s="13" t="inlineStr">
        <is>
          <t>Active</t>
        </is>
      </c>
    </row>
    <row r="66">
      <c r="A66" s="13" t="inlineStr">
        <is>
          <t>TXN-1419</t>
        </is>
      </c>
      <c r="B66" s="13" t="inlineStr">
        <is>
          <t>2026-09-29</t>
        </is>
      </c>
      <c r="C66" s="13" t="inlineStr">
        <is>
          <t>prj-enterprise-saas-105</t>
        </is>
      </c>
      <c r="D66" s="14" t="inlineStr">
        <is>
          <t>Enterprise SaaS</t>
        </is>
      </c>
      <c r="E66" s="13" t="inlineStr">
        <is>
          <t>us-central1</t>
        </is>
      </c>
      <c r="F66" s="14" t="inlineStr">
        <is>
          <t>Cloud SQL</t>
        </is>
      </c>
      <c r="G66" s="14" t="inlineStr">
        <is>
          <t>PostgreSQL High Availability</t>
        </is>
      </c>
      <c r="H66" s="15" t="n">
        <v>5181.19</v>
      </c>
      <c r="I66" s="13" t="inlineStr">
        <is>
          <t>Active</t>
        </is>
      </c>
    </row>
    <row r="67">
      <c r="A67" s="13" t="inlineStr">
        <is>
          <t>TXN-1065</t>
        </is>
      </c>
      <c r="B67" s="13" t="inlineStr">
        <is>
          <t>2026-09-23</t>
        </is>
      </c>
      <c r="C67" s="13" t="inlineStr">
        <is>
          <t>prj-global-logistics-103</t>
        </is>
      </c>
      <c r="D67" s="14" t="inlineStr">
        <is>
          <t>Global Logistics</t>
        </is>
      </c>
      <c r="E67" s="13" t="inlineStr">
        <is>
          <t>southamerica-east1</t>
        </is>
      </c>
      <c r="F67" s="14" t="inlineStr">
        <is>
          <t>Compute Engine</t>
        </is>
      </c>
      <c r="G67" s="14" t="inlineStr">
        <is>
          <t>N2 Standard 8 vCPU</t>
        </is>
      </c>
      <c r="H67" s="15" t="n">
        <v>5830.04</v>
      </c>
      <c r="I67" s="13" t="inlineStr">
        <is>
          <t>Active</t>
        </is>
      </c>
    </row>
    <row r="68">
      <c r="A68" s="13" t="inlineStr">
        <is>
          <t>TXN-1326</t>
        </is>
      </c>
      <c r="B68" s="13" t="inlineStr">
        <is>
          <t>2026-09-28</t>
        </is>
      </c>
      <c r="C68" s="13" t="inlineStr">
        <is>
          <t>prj-enterprise-saas-104</t>
        </is>
      </c>
      <c r="D68" s="14" t="inlineStr">
        <is>
          <t>Enterprise SaaS</t>
        </is>
      </c>
      <c r="E68" s="13" t="inlineStr">
        <is>
          <t>us-east4</t>
        </is>
      </c>
      <c r="F68" s="14" t="inlineStr">
        <is>
          <t>Cloud Storage</t>
        </is>
      </c>
      <c r="G68" s="14" t="inlineStr">
        <is>
          <t>Standard Storage GB</t>
        </is>
      </c>
      <c r="H68" s="15" t="n">
        <v>3792.88</v>
      </c>
      <c r="I68" s="13" t="inlineStr">
        <is>
          <t>Active</t>
        </is>
      </c>
    </row>
    <row r="69">
      <c r="A69" s="13" t="inlineStr">
        <is>
          <t>TXN-1284</t>
        </is>
      </c>
      <c r="B69" s="13" t="inlineStr">
        <is>
          <t>2026-09-26</t>
        </is>
      </c>
      <c r="C69" s="13" t="inlineStr">
        <is>
          <t>prj-pro-services-105</t>
        </is>
      </c>
      <c r="D69" s="14" t="inlineStr">
        <is>
          <t>Pro Services</t>
        </is>
      </c>
      <c r="E69" s="13" t="inlineStr">
        <is>
          <t>europe-west1</t>
        </is>
      </c>
      <c r="F69" s="14" t="inlineStr">
        <is>
          <t>BigQuery</t>
        </is>
      </c>
      <c r="G69" s="14" t="inlineStr">
        <is>
          <t>Analysis Slot Usage</t>
        </is>
      </c>
      <c r="H69" s="15" t="n">
        <v>9414.42</v>
      </c>
      <c r="I69" s="13" t="inlineStr">
        <is>
          <t>Active</t>
        </is>
      </c>
    </row>
    <row r="70">
      <c r="A70" s="13" t="inlineStr">
        <is>
          <t>TXN-1379</t>
        </is>
      </c>
      <c r="B70" s="13" t="inlineStr">
        <is>
          <t>2026-09-13</t>
        </is>
      </c>
      <c r="C70" s="13" t="inlineStr">
        <is>
          <t>prj-pro-services-103</t>
        </is>
      </c>
      <c r="D70" s="14" t="inlineStr">
        <is>
          <t>Pro Services</t>
        </is>
      </c>
      <c r="E70" s="13" t="inlineStr">
        <is>
          <t>asia-east1</t>
        </is>
      </c>
      <c r="F70" s="14" t="inlineStr">
        <is>
          <t>Cloud Storage</t>
        </is>
      </c>
      <c r="G70" s="14" t="inlineStr">
        <is>
          <t>Standard Storage GB</t>
        </is>
      </c>
      <c r="H70" s="15" t="n">
        <v>1309.37</v>
      </c>
      <c r="I70" s="13" t="inlineStr">
        <is>
          <t>Active</t>
        </is>
      </c>
    </row>
    <row r="71">
      <c r="A71" s="13" t="inlineStr">
        <is>
          <t>TXN-1112</t>
        </is>
      </c>
      <c r="B71" s="13" t="inlineStr">
        <is>
          <t>2026-09-21</t>
        </is>
      </c>
      <c r="C71" s="13" t="inlineStr">
        <is>
          <t>prj-enterprise-saas-102</t>
        </is>
      </c>
      <c r="D71" s="14" t="inlineStr">
        <is>
          <t>Enterprise SaaS</t>
        </is>
      </c>
      <c r="E71" s="13" t="inlineStr">
        <is>
          <t>us-central1</t>
        </is>
      </c>
      <c r="F71" s="14" t="inlineStr">
        <is>
          <t>Cloud Storage</t>
        </is>
      </c>
      <c r="G71" s="14" t="inlineStr">
        <is>
          <t>Standard Storage GB</t>
        </is>
      </c>
      <c r="H71" s="15" t="n">
        <v>3382</v>
      </c>
      <c r="I71" s="13" t="inlineStr">
        <is>
          <t>Active</t>
        </is>
      </c>
    </row>
    <row r="72">
      <c r="A72" s="13" t="inlineStr">
        <is>
          <t>TXN-1259</t>
        </is>
      </c>
      <c r="B72" s="13" t="inlineStr">
        <is>
          <t>2026-09-09</t>
        </is>
      </c>
      <c r="C72" s="13" t="inlineStr">
        <is>
          <t>prj-global-logistics-102</t>
        </is>
      </c>
      <c r="D72" s="14" t="inlineStr">
        <is>
          <t>Global Logistics</t>
        </is>
      </c>
      <c r="E72" s="13" t="inlineStr">
        <is>
          <t>europe-west1</t>
        </is>
      </c>
      <c r="F72" s="14" t="inlineStr">
        <is>
          <t>Google Kubernetes Engine</t>
        </is>
      </c>
      <c r="G72" s="14" t="inlineStr">
        <is>
          <t>Autopilot Pod Compute</t>
        </is>
      </c>
      <c r="H72" s="15" t="n">
        <v>9561.290000000001</v>
      </c>
      <c r="I72" s="13" t="inlineStr">
        <is>
          <t>Active</t>
        </is>
      </c>
    </row>
    <row r="73">
      <c r="A73" s="13" t="inlineStr">
        <is>
          <t>TXN-1337</t>
        </is>
      </c>
      <c r="B73" s="13" t="inlineStr">
        <is>
          <t>2026-09-17</t>
        </is>
      </c>
      <c r="C73" s="13" t="inlineStr">
        <is>
          <t>prj-hardware-and-iot-102</t>
        </is>
      </c>
      <c r="D73" s="14" t="inlineStr">
        <is>
          <t>Hardware &amp; IoT</t>
        </is>
      </c>
      <c r="E73" s="13" t="inlineStr">
        <is>
          <t>us-central1</t>
        </is>
      </c>
      <c r="F73" s="14" t="inlineStr">
        <is>
          <t>BigQuery</t>
        </is>
      </c>
      <c r="G73" s="14" t="inlineStr">
        <is>
          <t>Analysis Slot Usage</t>
        </is>
      </c>
      <c r="H73" s="15" t="n">
        <v>7492.81</v>
      </c>
      <c r="I73" s="13" t="inlineStr">
        <is>
          <t>Active</t>
        </is>
      </c>
    </row>
    <row r="74">
      <c r="A74" s="13" t="inlineStr">
        <is>
          <t>TXN-1070</t>
        </is>
      </c>
      <c r="B74" s="13" t="inlineStr">
        <is>
          <t>2026-09-30</t>
        </is>
      </c>
      <c r="C74" s="13" t="inlineStr">
        <is>
          <t>prj-hardware-and-iot-103</t>
        </is>
      </c>
      <c r="D74" s="14" t="inlineStr"/>
      <c r="E74" s="13" t="inlineStr">
        <is>
          <t>us-east4</t>
        </is>
      </c>
      <c r="F74" s="14" t="inlineStr">
        <is>
          <t>Cloud Storage</t>
        </is>
      </c>
      <c r="G74" s="14" t="inlineStr">
        <is>
          <t>Standard Storage GB</t>
        </is>
      </c>
      <c r="H74" s="15" t="n">
        <v>1613.91</v>
      </c>
      <c r="I74" s="13" t="inlineStr">
        <is>
          <t>Active</t>
        </is>
      </c>
    </row>
    <row r="75">
      <c r="A75" s="13" t="inlineStr">
        <is>
          <t>TXN-1073</t>
        </is>
      </c>
      <c r="B75" s="13" t="inlineStr">
        <is>
          <t>2026-09-22</t>
        </is>
      </c>
      <c r="C75" s="13" t="inlineStr">
        <is>
          <t>prj-global-logistics-103</t>
        </is>
      </c>
      <c r="D75" s="14" t="inlineStr">
        <is>
          <t>Global Logistics</t>
        </is>
      </c>
      <c r="E75" s="13" t="inlineStr">
        <is>
          <t>us-east4</t>
        </is>
      </c>
      <c r="F75" s="14" t="inlineStr">
        <is>
          <t>BigQuery</t>
        </is>
      </c>
      <c r="G75" s="14" t="inlineStr">
        <is>
          <t>Analysis Slot Usage</t>
        </is>
      </c>
      <c r="H75" s="15" t="n">
        <v>8753.940000000001</v>
      </c>
      <c r="I75" s="13" t="inlineStr">
        <is>
          <t>Active</t>
        </is>
      </c>
    </row>
    <row r="76">
      <c r="A76" s="13" t="inlineStr">
        <is>
          <t>TXN-1330</t>
        </is>
      </c>
      <c r="B76" s="13" t="inlineStr">
        <is>
          <t>2026-09-18</t>
        </is>
      </c>
      <c r="C76" s="13" t="inlineStr">
        <is>
          <t>prj-e-commerce-engine-105</t>
        </is>
      </c>
      <c r="D76" s="14" t="inlineStr">
        <is>
          <t>E-Commerce Engine</t>
        </is>
      </c>
      <c r="E76" s="13" t="inlineStr">
        <is>
          <t>asia-east1</t>
        </is>
      </c>
      <c r="F76" s="14" t="inlineStr">
        <is>
          <t>Cloud SQL</t>
        </is>
      </c>
      <c r="G76" s="14" t="inlineStr">
        <is>
          <t>PostgreSQL High Availability</t>
        </is>
      </c>
      <c r="H76" s="15" t="n">
        <v>2954.2</v>
      </c>
      <c r="I76" s="13" t="inlineStr">
        <is>
          <t>Active</t>
        </is>
      </c>
    </row>
    <row r="77">
      <c r="A77" s="13" t="inlineStr">
        <is>
          <t>TXN-1302</t>
        </is>
      </c>
      <c r="B77" s="13" t="inlineStr">
        <is>
          <t>2026-09-17</t>
        </is>
      </c>
      <c r="C77" s="13" t="inlineStr">
        <is>
          <t>prj-e-commerce-engine-104</t>
        </is>
      </c>
      <c r="D77" s="14" t="inlineStr">
        <is>
          <t>E-Commerce Engine</t>
        </is>
      </c>
      <c r="E77" s="13" t="inlineStr">
        <is>
          <t>us-central1</t>
        </is>
      </c>
      <c r="F77" s="14" t="inlineStr">
        <is>
          <t>Cloud SQL</t>
        </is>
      </c>
      <c r="G77" s="14" t="inlineStr">
        <is>
          <t>PostgreSQL High Availability</t>
        </is>
      </c>
      <c r="H77" s="15" t="n">
        <v>2652.37</v>
      </c>
      <c r="I77" s="13" t="inlineStr">
        <is>
          <t>Active</t>
        </is>
      </c>
    </row>
    <row r="78">
      <c r="A78" s="13" t="inlineStr">
        <is>
          <t>TXN-1368</t>
        </is>
      </c>
      <c r="B78" s="13" t="inlineStr">
        <is>
          <t>2026-09-26</t>
        </is>
      </c>
      <c r="C78" s="13" t="inlineStr">
        <is>
          <t>prj-e-commerce-engine-101</t>
        </is>
      </c>
      <c r="D78" s="14" t="inlineStr">
        <is>
          <t>E-Commerce Engine</t>
        </is>
      </c>
      <c r="E78" s="13" t="inlineStr">
        <is>
          <t>southamerica-east1</t>
        </is>
      </c>
      <c r="F78" s="14" t="inlineStr">
        <is>
          <t>Cloud Storage</t>
        </is>
      </c>
      <c r="G78" s="14" t="inlineStr">
        <is>
          <t>Standard Storage GB</t>
        </is>
      </c>
      <c r="H78" s="15" t="n">
        <v>2717.16</v>
      </c>
      <c r="I78" s="13" t="inlineStr">
        <is>
          <t>Active</t>
        </is>
      </c>
    </row>
    <row r="79">
      <c r="A79" s="13" t="inlineStr">
        <is>
          <t>TXN-1150</t>
        </is>
      </c>
      <c r="B79" s="13" t="inlineStr">
        <is>
          <t>2026-09-08</t>
        </is>
      </c>
      <c r="C79" s="13" t="inlineStr">
        <is>
          <t>prj-global-logistics-101</t>
        </is>
      </c>
      <c r="D79" s="14" t="inlineStr">
        <is>
          <t>Global Logistics</t>
        </is>
      </c>
      <c r="E79" s="13" t="inlineStr">
        <is>
          <t>asia-east1</t>
        </is>
      </c>
      <c r="F79" s="14" t="inlineStr">
        <is>
          <t>Cloud Storage</t>
        </is>
      </c>
      <c r="G79" s="14" t="inlineStr">
        <is>
          <t>Promotional Credit / Outage SLA Refund</t>
        </is>
      </c>
      <c r="H79" s="15" t="n">
        <v>-1339.46</v>
      </c>
      <c r="I79" s="13" t="inlineStr">
        <is>
          <t>Active</t>
        </is>
      </c>
    </row>
    <row r="80">
      <c r="A80" s="13" t="inlineStr">
        <is>
          <t>TXN-1322</t>
        </is>
      </c>
      <c r="B80" s="13" t="inlineStr">
        <is>
          <t>2026-09-19</t>
        </is>
      </c>
      <c r="C80" s="13" t="inlineStr">
        <is>
          <t>prj-global-logistics-104</t>
        </is>
      </c>
      <c r="D80" s="14" t="inlineStr">
        <is>
          <t>Global Logistics</t>
        </is>
      </c>
      <c r="E80" s="13" t="inlineStr">
        <is>
          <t>southamerica-east1</t>
        </is>
      </c>
      <c r="F80" s="14" t="inlineStr">
        <is>
          <t>BigQuery</t>
        </is>
      </c>
      <c r="G80" s="14" t="inlineStr">
        <is>
          <t>Analysis Slot Usage</t>
        </is>
      </c>
      <c r="H80" s="15" t="n">
        <v>5729.12</v>
      </c>
      <c r="I80" s="13" t="inlineStr">
        <is>
          <t>Active</t>
        </is>
      </c>
    </row>
    <row r="81">
      <c r="A81" s="13" t="inlineStr">
        <is>
          <t>TXN-1134</t>
        </is>
      </c>
      <c r="B81" s="13" t="inlineStr">
        <is>
          <t>2026-09-23</t>
        </is>
      </c>
      <c r="C81" s="13" t="inlineStr">
        <is>
          <t>prj-global-logistics-104</t>
        </is>
      </c>
      <c r="D81" s="14" t="inlineStr">
        <is>
          <t>Global Logistics</t>
        </is>
      </c>
      <c r="E81" s="13" t="inlineStr">
        <is>
          <t>europe-west1</t>
        </is>
      </c>
      <c r="F81" s="14" t="inlineStr">
        <is>
          <t>Cloud Storage</t>
        </is>
      </c>
      <c r="G81" s="14" t="inlineStr">
        <is>
          <t>Standard Storage GB</t>
        </is>
      </c>
      <c r="H81" s="15" t="n">
        <v>1918.9</v>
      </c>
      <c r="I81" s="13" t="inlineStr">
        <is>
          <t>Active</t>
        </is>
      </c>
    </row>
    <row r="82">
      <c r="A82" s="13" t="inlineStr">
        <is>
          <t>TXN-1264</t>
        </is>
      </c>
      <c r="B82" s="13" t="inlineStr">
        <is>
          <t>2026-09-03</t>
        </is>
      </c>
      <c r="C82" s="13" t="inlineStr">
        <is>
          <t>prj-hardware-and-iot-101</t>
        </is>
      </c>
      <c r="D82" s="14" t="inlineStr">
        <is>
          <t>Hardware &amp; IoT</t>
        </is>
      </c>
      <c r="E82" s="13" t="inlineStr">
        <is>
          <t>us-east4</t>
        </is>
      </c>
      <c r="F82" s="14" t="inlineStr">
        <is>
          <t>Cloud SQL</t>
        </is>
      </c>
      <c r="G82" s="14" t="inlineStr">
        <is>
          <t>PostgreSQL High Availability</t>
        </is>
      </c>
      <c r="H82" s="15" t="n">
        <v>2699.12</v>
      </c>
      <c r="I82" s="13" t="inlineStr">
        <is>
          <t>Active</t>
        </is>
      </c>
    </row>
    <row r="83">
      <c r="A83" s="13" t="inlineStr">
        <is>
          <t>TXN-1268</t>
        </is>
      </c>
      <c r="B83" s="13" t="inlineStr">
        <is>
          <t>2026-09-05</t>
        </is>
      </c>
      <c r="C83" s="13" t="inlineStr">
        <is>
          <t>prj-enterprise-saas-103</t>
        </is>
      </c>
      <c r="D83" s="14" t="inlineStr">
        <is>
          <t>Enterprise SaaS</t>
        </is>
      </c>
      <c r="E83" s="13" t="inlineStr">
        <is>
          <t>us-east4</t>
        </is>
      </c>
      <c r="F83" s="14" t="inlineStr">
        <is>
          <t>Compute Engine</t>
        </is>
      </c>
      <c r="G83" s="14" t="inlineStr">
        <is>
          <t>N2 Standard 8 vCPU</t>
        </is>
      </c>
      <c r="H83" s="15" t="n">
        <v>7429.54</v>
      </c>
      <c r="I83" s="13" t="inlineStr">
        <is>
          <t>Active</t>
        </is>
      </c>
    </row>
    <row r="84">
      <c r="A84" s="13" t="inlineStr">
        <is>
          <t>TXN-1421</t>
        </is>
      </c>
      <c r="B84" s="13" t="inlineStr">
        <is>
          <t>2026-09-02</t>
        </is>
      </c>
      <c r="C84" s="13" t="inlineStr">
        <is>
          <t>prj-pro-services-102</t>
        </is>
      </c>
      <c r="D84" s="14" t="inlineStr">
        <is>
          <t>Pro Services</t>
        </is>
      </c>
      <c r="E84" s="13" t="inlineStr">
        <is>
          <t>southamerica-east1</t>
        </is>
      </c>
      <c r="F84" s="14" t="inlineStr">
        <is>
          <t>Compute Engine</t>
        </is>
      </c>
      <c r="G84" s="14" t="inlineStr">
        <is>
          <t>N2 Standard 8 vCPU</t>
        </is>
      </c>
      <c r="H84" s="15" t="n">
        <v>6462.16</v>
      </c>
      <c r="I84" s="13" t="inlineStr">
        <is>
          <t>Active</t>
        </is>
      </c>
    </row>
    <row r="85">
      <c r="A85" s="13" t="inlineStr">
        <is>
          <t>TXN-1374</t>
        </is>
      </c>
      <c r="B85" s="13" t="inlineStr">
        <is>
          <t>2026-09-06</t>
        </is>
      </c>
      <c r="C85" s="13" t="inlineStr">
        <is>
          <t>prj-pro-services-105</t>
        </is>
      </c>
      <c r="D85" s="14" t="inlineStr">
        <is>
          <t>Pro Services</t>
        </is>
      </c>
      <c r="E85" s="13" t="inlineStr">
        <is>
          <t>southamerica-east1</t>
        </is>
      </c>
      <c r="F85" s="14" t="inlineStr">
        <is>
          <t>BigQuery</t>
        </is>
      </c>
      <c r="G85" s="14" t="inlineStr">
        <is>
          <t>Analysis Slot Usage</t>
        </is>
      </c>
      <c r="H85" s="15" t="n">
        <v>5948.58</v>
      </c>
      <c r="I85" s="13" t="inlineStr">
        <is>
          <t>Active</t>
        </is>
      </c>
    </row>
    <row r="86">
      <c r="A86" s="13" t="inlineStr">
        <is>
          <t>TXN-1087</t>
        </is>
      </c>
      <c r="B86" s="13" t="inlineStr">
        <is>
          <t>2026-09-22</t>
        </is>
      </c>
      <c r="C86" s="13" t="inlineStr">
        <is>
          <t>prj-e-commerce-engine-102</t>
        </is>
      </c>
      <c r="D86" s="14" t="inlineStr">
        <is>
          <t>E-Commerce Engine</t>
        </is>
      </c>
      <c r="E86" s="13" t="inlineStr">
        <is>
          <t>asia-east1</t>
        </is>
      </c>
      <c r="F86" s="14" t="inlineStr">
        <is>
          <t>Compute Engine</t>
        </is>
      </c>
      <c r="G86" s="14" t="inlineStr">
        <is>
          <t>N2 Standard 8 vCPU</t>
        </is>
      </c>
      <c r="H86" s="15" t="n">
        <v>6191.18</v>
      </c>
      <c r="I86" s="13" t="inlineStr">
        <is>
          <t>Active</t>
        </is>
      </c>
    </row>
    <row r="87">
      <c r="A87" s="13" t="inlineStr">
        <is>
          <t>TXN-1336</t>
        </is>
      </c>
      <c r="B87" s="13" t="inlineStr">
        <is>
          <t>2026-09-10</t>
        </is>
      </c>
      <c r="C87" s="13" t="inlineStr">
        <is>
          <t>prj-global-logistics-102</t>
        </is>
      </c>
      <c r="D87" s="14" t="inlineStr">
        <is>
          <t>Global Logistics</t>
        </is>
      </c>
      <c r="E87" s="13" t="inlineStr">
        <is>
          <t>europe-west1</t>
        </is>
      </c>
      <c r="F87" s="14" t="inlineStr">
        <is>
          <t>BigQuery</t>
        </is>
      </c>
      <c r="G87" s="14" t="inlineStr">
        <is>
          <t>Analysis Slot Usage</t>
        </is>
      </c>
      <c r="H87" s="15" t="n">
        <v>5903.13</v>
      </c>
      <c r="I87" s="13" t="inlineStr">
        <is>
          <t>Active</t>
        </is>
      </c>
    </row>
    <row r="88">
      <c r="A88" s="13" t="inlineStr">
        <is>
          <t>TXN-1004</t>
        </is>
      </c>
      <c r="B88" s="13" t="inlineStr">
        <is>
          <t>2026-09-18</t>
        </is>
      </c>
      <c r="C88" s="13" t="inlineStr">
        <is>
          <t>prj-global-logistics-102</t>
        </is>
      </c>
      <c r="D88" s="14" t="inlineStr">
        <is>
          <t>Global Logistics</t>
        </is>
      </c>
      <c r="E88" s="13" t="inlineStr">
        <is>
          <t>southamerica-east1</t>
        </is>
      </c>
      <c r="F88" s="14" t="inlineStr">
        <is>
          <t>Cloud SQL</t>
        </is>
      </c>
      <c r="G88" s="14" t="inlineStr">
        <is>
          <t>PostgreSQL High Availability</t>
        </is>
      </c>
      <c r="H88" s="15" t="n">
        <v>4072.23</v>
      </c>
      <c r="I88" s="13" t="inlineStr">
        <is>
          <t>Active</t>
        </is>
      </c>
    </row>
    <row r="89">
      <c r="A89" s="13" t="inlineStr">
        <is>
          <t>TXN-1081</t>
        </is>
      </c>
      <c r="B89" s="13" t="inlineStr">
        <is>
          <t>2026-09-10</t>
        </is>
      </c>
      <c r="C89" s="13" t="inlineStr">
        <is>
          <t>prj-e-commerce-engine-103</t>
        </is>
      </c>
      <c r="D89" s="14" t="inlineStr">
        <is>
          <t>E-Commerce Engine</t>
        </is>
      </c>
      <c r="E89" s="13" t="inlineStr">
        <is>
          <t>asia-east1</t>
        </is>
      </c>
      <c r="F89" s="14" t="inlineStr">
        <is>
          <t>Cloud SQL</t>
        </is>
      </c>
      <c r="G89" s="14" t="inlineStr">
        <is>
          <t>PostgreSQL High Availability</t>
        </is>
      </c>
      <c r="H89" s="15" t="n">
        <v>3908.4</v>
      </c>
      <c r="I89" s="13" t="inlineStr">
        <is>
          <t>Active</t>
        </is>
      </c>
    </row>
    <row r="90">
      <c r="A90" s="13" t="inlineStr">
        <is>
          <t>TXN-1220</t>
        </is>
      </c>
      <c r="B90" s="13" t="inlineStr">
        <is>
          <t>2026-09-25</t>
        </is>
      </c>
      <c r="C90" s="13" t="inlineStr">
        <is>
          <t>prj-hardware-and-iot-101</t>
        </is>
      </c>
      <c r="D90" s="14" t="inlineStr">
        <is>
          <t>Hardware &amp; IoT</t>
        </is>
      </c>
      <c r="E90" s="13" t="inlineStr">
        <is>
          <t>southamerica-east1</t>
        </is>
      </c>
      <c r="F90" s="14" t="inlineStr">
        <is>
          <t>Google Kubernetes Engine</t>
        </is>
      </c>
      <c r="G90" s="14" t="inlineStr">
        <is>
          <t>Autopilot Pod Compute</t>
        </is>
      </c>
      <c r="H90" s="15" t="n">
        <v>7712.03</v>
      </c>
      <c r="I90" s="13" t="inlineStr">
        <is>
          <t>Active</t>
        </is>
      </c>
    </row>
    <row r="91">
      <c r="A91" s="13" t="inlineStr">
        <is>
          <t>TXN-1359</t>
        </is>
      </c>
      <c r="B91" s="13" t="inlineStr">
        <is>
          <t>2026-09-04</t>
        </is>
      </c>
      <c r="C91" s="13" t="inlineStr">
        <is>
          <t>prj-pro-services-105</t>
        </is>
      </c>
      <c r="D91" s="14" t="inlineStr">
        <is>
          <t>Pro Services</t>
        </is>
      </c>
      <c r="E91" s="13" t="inlineStr">
        <is>
          <t>asia-east1</t>
        </is>
      </c>
      <c r="F91" s="14" t="inlineStr">
        <is>
          <t>BigQuery</t>
        </is>
      </c>
      <c r="G91" s="14" t="inlineStr">
        <is>
          <t>Analysis Slot Usage</t>
        </is>
      </c>
      <c r="H91" s="15" t="n">
        <v>9164.219999999999</v>
      </c>
      <c r="I91" s="13" t="inlineStr">
        <is>
          <t>Active</t>
        </is>
      </c>
    </row>
    <row r="92">
      <c r="A92" s="13" t="inlineStr">
        <is>
          <t>TXN-1116</t>
        </is>
      </c>
      <c r="B92" s="13" t="inlineStr">
        <is>
          <t>2026-09-30</t>
        </is>
      </c>
      <c r="C92" s="13" t="inlineStr">
        <is>
          <t>prj-hardware-and-iot-104</t>
        </is>
      </c>
      <c r="D92" s="14" t="inlineStr">
        <is>
          <t>Hardware &amp; IoT</t>
        </is>
      </c>
      <c r="E92" s="13" t="inlineStr">
        <is>
          <t>southamerica-east1</t>
        </is>
      </c>
      <c r="F92" s="14" t="inlineStr">
        <is>
          <t>Cloud SQL</t>
        </is>
      </c>
      <c r="G92" s="14" t="inlineStr">
        <is>
          <t>PostgreSQL High Availability</t>
        </is>
      </c>
      <c r="H92" s="15" t="n">
        <v>5795.15</v>
      </c>
      <c r="I92" s="13" t="inlineStr">
        <is>
          <t>Active</t>
        </is>
      </c>
    </row>
    <row r="93">
      <c r="A93" s="13" t="inlineStr">
        <is>
          <t>TXN-1479</t>
        </is>
      </c>
      <c r="B93" s="13" t="inlineStr">
        <is>
          <t>2026-09-10</t>
        </is>
      </c>
      <c r="C93" s="13" t="inlineStr">
        <is>
          <t>prj-pro-services-103</t>
        </is>
      </c>
      <c r="D93" s="14" t="inlineStr">
        <is>
          <t>Pro Services</t>
        </is>
      </c>
      <c r="E93" s="13" t="inlineStr">
        <is>
          <t>us-central1</t>
        </is>
      </c>
      <c r="F93" s="14" t="inlineStr">
        <is>
          <t>BigQuery</t>
        </is>
      </c>
      <c r="G93" s="14" t="inlineStr">
        <is>
          <t>Analysis Slot Usage</t>
        </is>
      </c>
      <c r="H93" s="15" t="n">
        <v>9193.219999999999</v>
      </c>
      <c r="I93" s="13" t="inlineStr">
        <is>
          <t>Active</t>
        </is>
      </c>
    </row>
    <row r="94">
      <c r="A94" s="13" t="inlineStr">
        <is>
          <t>TXN-1329</t>
        </is>
      </c>
      <c r="B94" s="13" t="inlineStr">
        <is>
          <t>2026-09-04</t>
        </is>
      </c>
      <c r="C94" s="13" t="inlineStr">
        <is>
          <t>prj-global-logistics-104</t>
        </is>
      </c>
      <c r="D94" s="14" t="inlineStr">
        <is>
          <t>Global Logistics</t>
        </is>
      </c>
      <c r="E94" s="13" t="inlineStr">
        <is>
          <t>europe-west1</t>
        </is>
      </c>
      <c r="F94" s="14" t="inlineStr">
        <is>
          <t>Cloud Storage</t>
        </is>
      </c>
      <c r="G94" s="14" t="inlineStr">
        <is>
          <t>Standard Storage GB</t>
        </is>
      </c>
      <c r="H94" s="15" t="n">
        <v>1268.34</v>
      </c>
      <c r="I94" s="13" t="inlineStr">
        <is>
          <t>Active</t>
        </is>
      </c>
    </row>
    <row r="95">
      <c r="A95" s="13" t="inlineStr">
        <is>
          <t>TXN-1450</t>
        </is>
      </c>
      <c r="B95" s="13" t="inlineStr">
        <is>
          <t>2026-09-12</t>
        </is>
      </c>
      <c r="C95" s="13" t="inlineStr">
        <is>
          <t>prj-enterprise-saas-104</t>
        </is>
      </c>
      <c r="D95" s="14" t="inlineStr">
        <is>
          <t>Enterprise SaaS</t>
        </is>
      </c>
      <c r="E95" s="13" t="inlineStr">
        <is>
          <t>southamerica-east1</t>
        </is>
      </c>
      <c r="F95" s="14" t="inlineStr">
        <is>
          <t>Google Kubernetes Engine</t>
        </is>
      </c>
      <c r="G95" s="14" t="inlineStr">
        <is>
          <t>Autopilot Pod Compute</t>
        </is>
      </c>
      <c r="H95" s="15" t="n">
        <v>8955.709999999999</v>
      </c>
      <c r="I95" s="13" t="inlineStr">
        <is>
          <t>Active</t>
        </is>
      </c>
    </row>
    <row r="96">
      <c r="A96" s="13" t="inlineStr">
        <is>
          <t>TXN-1158</t>
        </is>
      </c>
      <c r="B96" s="13" t="inlineStr">
        <is>
          <t>2026-09-14</t>
        </is>
      </c>
      <c r="C96" s="13" t="inlineStr">
        <is>
          <t>prj-hardware-and-iot-102</t>
        </is>
      </c>
      <c r="D96" s="14" t="inlineStr">
        <is>
          <t>Hardware &amp; IoT</t>
        </is>
      </c>
      <c r="E96" s="13" t="inlineStr">
        <is>
          <t>asia-east1</t>
        </is>
      </c>
      <c r="F96" s="14" t="inlineStr">
        <is>
          <t>Compute Engine</t>
        </is>
      </c>
      <c r="G96" s="14" t="inlineStr">
        <is>
          <t>N2 Standard 8 vCPU</t>
        </is>
      </c>
      <c r="H96" s="15" t="n">
        <v>4819.21</v>
      </c>
      <c r="I96" s="13" t="inlineStr">
        <is>
          <t>Active</t>
        </is>
      </c>
    </row>
    <row r="97">
      <c r="A97" s="13" t="inlineStr">
        <is>
          <t>TXN-1323</t>
        </is>
      </c>
      <c r="B97" s="13" t="inlineStr">
        <is>
          <t>2026-09-09</t>
        </is>
      </c>
      <c r="C97" s="13" t="inlineStr">
        <is>
          <t>prj-global-logistics-102</t>
        </is>
      </c>
      <c r="D97" s="14" t="inlineStr">
        <is>
          <t>Global Logistics</t>
        </is>
      </c>
      <c r="E97" s="13" t="inlineStr">
        <is>
          <t>us-central1</t>
        </is>
      </c>
      <c r="F97" s="14" t="inlineStr">
        <is>
          <t>Compute Engine</t>
        </is>
      </c>
      <c r="G97" s="14" t="inlineStr">
        <is>
          <t>N2 Standard 8 vCPU</t>
        </is>
      </c>
      <c r="H97" s="15" t="n">
        <v>5496.18</v>
      </c>
      <c r="I97" s="13" t="inlineStr">
        <is>
          <t>Active</t>
        </is>
      </c>
    </row>
    <row r="98">
      <c r="A98" s="13" t="inlineStr">
        <is>
          <t>TXN-1443</t>
        </is>
      </c>
      <c r="B98" s="13" t="inlineStr">
        <is>
          <t>2026-09-19</t>
        </is>
      </c>
      <c r="C98" s="13" t="inlineStr">
        <is>
          <t>prj-pro-services-102</t>
        </is>
      </c>
      <c r="D98" s="14" t="inlineStr">
        <is>
          <t>Pro Services</t>
        </is>
      </c>
      <c r="E98" s="13" t="inlineStr">
        <is>
          <t>asia-east1</t>
        </is>
      </c>
      <c r="F98" s="14" t="inlineStr">
        <is>
          <t>Cloud Storage</t>
        </is>
      </c>
      <c r="G98" s="14" t="inlineStr">
        <is>
          <t>Standard Storage GB</t>
        </is>
      </c>
      <c r="H98" s="15" t="n">
        <v>2057.65</v>
      </c>
      <c r="I98" s="13" t="inlineStr">
        <is>
          <t>Active</t>
        </is>
      </c>
    </row>
    <row r="99">
      <c r="A99" s="13" t="inlineStr">
        <is>
          <t>TXN-1119</t>
        </is>
      </c>
      <c r="B99" s="13" t="inlineStr">
        <is>
          <t>2026-09-14</t>
        </is>
      </c>
      <c r="C99" s="13" t="inlineStr">
        <is>
          <t>prj-hardware-and-iot-103</t>
        </is>
      </c>
      <c r="D99" s="14" t="inlineStr">
        <is>
          <t>Hardware &amp; IoT</t>
        </is>
      </c>
      <c r="E99" s="13" t="inlineStr">
        <is>
          <t>us-central1</t>
        </is>
      </c>
      <c r="F99" s="14" t="inlineStr">
        <is>
          <t>Google Kubernetes Engine</t>
        </is>
      </c>
      <c r="G99" s="14" t="inlineStr">
        <is>
          <t>Autopilot Pod Compute</t>
        </is>
      </c>
      <c r="H99" s="15" t="n">
        <v>5075.91</v>
      </c>
      <c r="I99" s="13" t="inlineStr">
        <is>
          <t>Active</t>
        </is>
      </c>
    </row>
    <row r="100">
      <c r="A100" s="13" t="inlineStr">
        <is>
          <t>TXN-1192</t>
        </is>
      </c>
      <c r="B100" s="13" t="inlineStr">
        <is>
          <t>2026-09-27</t>
        </is>
      </c>
      <c r="C100" s="13" t="inlineStr">
        <is>
          <t>prj-pro-services-105</t>
        </is>
      </c>
      <c r="D100" s="14" t="inlineStr">
        <is>
          <t>Pro Services</t>
        </is>
      </c>
      <c r="E100" s="13" t="inlineStr">
        <is>
          <t>asia-east1</t>
        </is>
      </c>
      <c r="F100" s="14" t="inlineStr">
        <is>
          <t>Compute Engine</t>
        </is>
      </c>
      <c r="G100" s="14" t="inlineStr">
        <is>
          <t>N2 Standard 8 vCPU</t>
        </is>
      </c>
      <c r="H100" s="15" t="n">
        <v>6960.27</v>
      </c>
      <c r="I100" s="13" t="inlineStr">
        <is>
          <t>Active</t>
        </is>
      </c>
    </row>
    <row r="101">
      <c r="A101" s="13" t="inlineStr">
        <is>
          <t>TXN-1166</t>
        </is>
      </c>
      <c r="B101" s="13" t="inlineStr">
        <is>
          <t>2026-09-14</t>
        </is>
      </c>
      <c r="C101" s="13" t="inlineStr">
        <is>
          <t>prj-enterprise-saas-104</t>
        </is>
      </c>
      <c r="D101" s="14" t="inlineStr">
        <is>
          <t>Enterprise SaaS</t>
        </is>
      </c>
      <c r="E101" s="13" t="inlineStr">
        <is>
          <t>europe-west1</t>
        </is>
      </c>
      <c r="F101" s="14" t="inlineStr">
        <is>
          <t>Compute Engine</t>
        </is>
      </c>
      <c r="G101" s="14" t="inlineStr">
        <is>
          <t>N2 Standard 8 vCPU</t>
        </is>
      </c>
      <c r="H101" s="15" t="n">
        <v>7288.24</v>
      </c>
      <c r="I101" s="13" t="inlineStr">
        <is>
          <t>Active</t>
        </is>
      </c>
    </row>
    <row r="102">
      <c r="A102" s="13" t="inlineStr">
        <is>
          <t>TXN-1363</t>
        </is>
      </c>
      <c r="B102" s="13" t="inlineStr">
        <is>
          <t>2026-09-30</t>
        </is>
      </c>
      <c r="C102" s="13" t="inlineStr">
        <is>
          <t>prj-e-commerce-engine-104</t>
        </is>
      </c>
      <c r="D102" s="14" t="inlineStr">
        <is>
          <t>E-Commerce Engine</t>
        </is>
      </c>
      <c r="E102" s="13" t="inlineStr">
        <is>
          <t>asia-east1</t>
        </is>
      </c>
      <c r="F102" s="14" t="inlineStr">
        <is>
          <t>Cloud Storage</t>
        </is>
      </c>
      <c r="G102" s="14" t="inlineStr">
        <is>
          <t>Standard Storage GB</t>
        </is>
      </c>
      <c r="H102" s="15" t="n">
        <v>3775.6</v>
      </c>
      <c r="I102" s="13" t="inlineStr">
        <is>
          <t>Active</t>
        </is>
      </c>
    </row>
    <row r="103">
      <c r="A103" s="13" t="inlineStr">
        <is>
          <t>TXN-1142</t>
        </is>
      </c>
      <c r="B103" s="13" t="inlineStr">
        <is>
          <t>2026-09-03</t>
        </is>
      </c>
      <c r="C103" s="13" t="inlineStr">
        <is>
          <t>prj-global-logistics-104</t>
        </is>
      </c>
      <c r="D103" s="14" t="inlineStr">
        <is>
          <t>Global Logistics</t>
        </is>
      </c>
      <c r="E103" s="13" t="inlineStr">
        <is>
          <t>us-central1</t>
        </is>
      </c>
      <c r="F103" s="14" t="inlineStr">
        <is>
          <t>Google Kubernetes Engine</t>
        </is>
      </c>
      <c r="G103" s="14" t="inlineStr">
        <is>
          <t>Autopilot Pod Compute</t>
        </is>
      </c>
      <c r="H103" s="15" t="n">
        <v>8637.91</v>
      </c>
      <c r="I103" s="13" t="inlineStr">
        <is>
          <t>Active</t>
        </is>
      </c>
    </row>
    <row r="104">
      <c r="A104" s="13" t="inlineStr">
        <is>
          <t>TXN-1067</t>
        </is>
      </c>
      <c r="B104" s="13" t="inlineStr">
        <is>
          <t>2026-09-30</t>
        </is>
      </c>
      <c r="C104" s="13" t="inlineStr">
        <is>
          <t>prj-enterprise-saas-102</t>
        </is>
      </c>
      <c r="D104" s="14" t="inlineStr">
        <is>
          <t>Enterprise SaaS</t>
        </is>
      </c>
      <c r="E104" s="13" t="inlineStr">
        <is>
          <t>asia-east1</t>
        </is>
      </c>
      <c r="F104" s="14" t="inlineStr">
        <is>
          <t>Cloud Storage</t>
        </is>
      </c>
      <c r="G104" s="14" t="inlineStr">
        <is>
          <t>Standard Storage GB</t>
        </is>
      </c>
      <c r="H104" s="15" t="n">
        <v>2934.03</v>
      </c>
      <c r="I104" s="13" t="inlineStr">
        <is>
          <t>Active</t>
        </is>
      </c>
    </row>
    <row r="105">
      <c r="A105" s="13" t="inlineStr">
        <is>
          <t>TXN-1022</t>
        </is>
      </c>
      <c r="B105" s="13" t="inlineStr">
        <is>
          <t>2026-09-15</t>
        </is>
      </c>
      <c r="C105" s="13" t="inlineStr">
        <is>
          <t>prj-e-commerce-engine-101</t>
        </is>
      </c>
      <c r="D105" s="14" t="inlineStr">
        <is>
          <t>E-Commerce Engine</t>
        </is>
      </c>
      <c r="E105" s="13" t="inlineStr">
        <is>
          <t>asia-east1</t>
        </is>
      </c>
      <c r="F105" s="14" t="inlineStr">
        <is>
          <t>Google Kubernetes Engine</t>
        </is>
      </c>
      <c r="G105" s="14" t="inlineStr">
        <is>
          <t>Autopilot Pod Compute</t>
        </is>
      </c>
      <c r="H105" s="15" t="n">
        <v>9081.700000000001</v>
      </c>
      <c r="I105" s="13" t="inlineStr">
        <is>
          <t>Active</t>
        </is>
      </c>
    </row>
    <row r="106">
      <c r="A106" s="13" t="inlineStr">
        <is>
          <t>TXN-1128</t>
        </is>
      </c>
      <c r="B106" s="13" t="inlineStr">
        <is>
          <t>2026-09-07</t>
        </is>
      </c>
      <c r="C106" s="13" t="inlineStr">
        <is>
          <t>prj-enterprise-saas-104</t>
        </is>
      </c>
      <c r="D106" s="14" t="inlineStr">
        <is>
          <t>Enterprise SaaS</t>
        </is>
      </c>
      <c r="E106" s="13" t="inlineStr">
        <is>
          <t>europe-west1</t>
        </is>
      </c>
      <c r="F106" s="14" t="inlineStr">
        <is>
          <t>Cloud SQL</t>
        </is>
      </c>
      <c r="G106" s="14" t="inlineStr">
        <is>
          <t>PostgreSQL High Availability</t>
        </is>
      </c>
      <c r="H106" s="15" t="n">
        <v>4443.12</v>
      </c>
      <c r="I106" s="13" t="inlineStr">
        <is>
          <t>Active</t>
        </is>
      </c>
    </row>
    <row r="107">
      <c r="A107" s="13" t="inlineStr">
        <is>
          <t>TXN-1273</t>
        </is>
      </c>
      <c r="B107" s="13" t="inlineStr">
        <is>
          <t>2026-09-13</t>
        </is>
      </c>
      <c r="C107" s="13" t="inlineStr">
        <is>
          <t>prj-hardware-and-iot-102</t>
        </is>
      </c>
      <c r="D107" s="14" t="inlineStr">
        <is>
          <t>Hardware &amp; IoT</t>
        </is>
      </c>
      <c r="E107" s="13" t="inlineStr">
        <is>
          <t>asia-east1</t>
        </is>
      </c>
      <c r="F107" s="14" t="inlineStr">
        <is>
          <t>Google Kubernetes Engine</t>
        </is>
      </c>
      <c r="G107" s="14" t="inlineStr">
        <is>
          <t>Autopilot Pod Compute</t>
        </is>
      </c>
      <c r="H107" s="15" t="n">
        <v>7000.17</v>
      </c>
      <c r="I107" s="13" t="inlineStr">
        <is>
          <t>Active</t>
        </is>
      </c>
    </row>
    <row r="108">
      <c r="A108" s="13" t="inlineStr">
        <is>
          <t>TXN-1161</t>
        </is>
      </c>
      <c r="B108" s="13" t="inlineStr">
        <is>
          <t>2026-09-13</t>
        </is>
      </c>
      <c r="C108" s="13" t="inlineStr">
        <is>
          <t>prj-e-commerce-engine-104</t>
        </is>
      </c>
      <c r="D108" s="14" t="inlineStr">
        <is>
          <t>E-Commerce Engine</t>
        </is>
      </c>
      <c r="E108" s="13" t="inlineStr">
        <is>
          <t>us-central1</t>
        </is>
      </c>
      <c r="F108" s="14" t="inlineStr">
        <is>
          <t>Google Kubernetes Engine</t>
        </is>
      </c>
      <c r="G108" s="14" t="inlineStr">
        <is>
          <t>Promotional Credit / Outage SLA Refund</t>
        </is>
      </c>
      <c r="H108" s="15" t="n">
        <v>-1556.81</v>
      </c>
      <c r="I108" s="13" t="inlineStr">
        <is>
          <t>Active</t>
        </is>
      </c>
    </row>
    <row r="109">
      <c r="A109" s="13" t="inlineStr">
        <is>
          <t>TXN-1473</t>
        </is>
      </c>
      <c r="B109" s="13" t="inlineStr">
        <is>
          <t>2026-09-03</t>
        </is>
      </c>
      <c r="C109" s="13" t="inlineStr">
        <is>
          <t>prj-global-logistics-105</t>
        </is>
      </c>
      <c r="D109" s="14" t="inlineStr">
        <is>
          <t>Global Logistics</t>
        </is>
      </c>
      <c r="E109" s="13" t="inlineStr">
        <is>
          <t>us-east4</t>
        </is>
      </c>
      <c r="F109" s="14" t="inlineStr">
        <is>
          <t>Cloud SQL</t>
        </is>
      </c>
      <c r="G109" s="14" t="inlineStr">
        <is>
          <t>PostgreSQL High Availability</t>
        </is>
      </c>
      <c r="H109" s="15" t="n">
        <v>4441.59</v>
      </c>
      <c r="I109" s="13" t="inlineStr">
        <is>
          <t>Active</t>
        </is>
      </c>
    </row>
    <row r="110">
      <c r="A110" s="13" t="inlineStr">
        <is>
          <t>TXN-1405</t>
        </is>
      </c>
      <c r="B110" s="13" t="inlineStr">
        <is>
          <t>2026-09-07</t>
        </is>
      </c>
      <c r="C110" s="13" t="inlineStr">
        <is>
          <t>prj-e-commerce-engine-102</t>
        </is>
      </c>
      <c r="D110" s="14" t="inlineStr">
        <is>
          <t>E-Commerce Engine</t>
        </is>
      </c>
      <c r="E110" s="13" t="inlineStr">
        <is>
          <t>southamerica-east1</t>
        </is>
      </c>
      <c r="F110" s="14" t="inlineStr">
        <is>
          <t>Cloud Storage</t>
        </is>
      </c>
      <c r="G110" s="14" t="inlineStr">
        <is>
          <t>Standard Storage GB</t>
        </is>
      </c>
      <c r="H110" s="15" t="n">
        <v>2053.11</v>
      </c>
      <c r="I110" s="13" t="inlineStr">
        <is>
          <t>Active</t>
        </is>
      </c>
    </row>
    <row r="111">
      <c r="A111" s="13" t="inlineStr">
        <is>
          <t>TXN-1088</t>
        </is>
      </c>
      <c r="B111" s="13" t="inlineStr">
        <is>
          <t>2026-09-08</t>
        </is>
      </c>
      <c r="C111" s="13" t="inlineStr">
        <is>
          <t>prj-global-logistics-101</t>
        </is>
      </c>
      <c r="D111" s="14" t="inlineStr">
        <is>
          <t>Global Logistics</t>
        </is>
      </c>
      <c r="E111" s="13" t="inlineStr">
        <is>
          <t>europe-west1</t>
        </is>
      </c>
      <c r="F111" s="14" t="inlineStr">
        <is>
          <t>Compute Engine</t>
        </is>
      </c>
      <c r="G111" s="14" t="inlineStr">
        <is>
          <t>N2 Standard 8 vCPU</t>
        </is>
      </c>
      <c r="H111" s="15" t="n">
        <v>4479.37</v>
      </c>
      <c r="I111" s="13" t="inlineStr">
        <is>
          <t>Active</t>
        </is>
      </c>
    </row>
    <row r="112">
      <c r="A112" s="13" t="inlineStr">
        <is>
          <t>TXN-1251</t>
        </is>
      </c>
      <c r="B112" s="13" t="inlineStr">
        <is>
          <t>2026-09-24</t>
        </is>
      </c>
      <c r="C112" s="13" t="inlineStr">
        <is>
          <t>prj-enterprise-saas-104</t>
        </is>
      </c>
      <c r="D112" s="14" t="inlineStr">
        <is>
          <t>Enterprise SaaS</t>
        </is>
      </c>
      <c r="E112" s="13" t="inlineStr">
        <is>
          <t>us-east4</t>
        </is>
      </c>
      <c r="F112" s="14" t="inlineStr">
        <is>
          <t>Compute Engine</t>
        </is>
      </c>
      <c r="G112" s="14" t="inlineStr">
        <is>
          <t>N2 Standard 8 vCPU</t>
        </is>
      </c>
      <c r="H112" s="15" t="n">
        <v>7184.65</v>
      </c>
      <c r="I112" s="13" t="inlineStr">
        <is>
          <t>Active</t>
        </is>
      </c>
    </row>
    <row r="113">
      <c r="A113" s="13" t="inlineStr">
        <is>
          <t>TXN-1156</t>
        </is>
      </c>
      <c r="B113" s="13" t="inlineStr">
        <is>
          <t>2026-09-25</t>
        </is>
      </c>
      <c r="C113" s="13" t="inlineStr">
        <is>
          <t>prj-global-logistics-104</t>
        </is>
      </c>
      <c r="D113" s="14" t="inlineStr">
        <is>
          <t>Global Logistics</t>
        </is>
      </c>
      <c r="E113" s="13" t="inlineStr">
        <is>
          <t>us-east4</t>
        </is>
      </c>
      <c r="F113" s="14" t="inlineStr">
        <is>
          <t>Google Kubernetes Engine</t>
        </is>
      </c>
      <c r="G113" s="14" t="inlineStr">
        <is>
          <t>Autopilot Pod Compute</t>
        </is>
      </c>
      <c r="H113" s="15" t="n">
        <v>10496.44</v>
      </c>
      <c r="I113" s="13" t="inlineStr">
        <is>
          <t>Active</t>
        </is>
      </c>
    </row>
    <row r="114">
      <c r="A114" s="13" t="inlineStr">
        <is>
          <t>TXN-1106</t>
        </is>
      </c>
      <c r="B114" s="13" t="inlineStr">
        <is>
          <t>2026-09-27</t>
        </is>
      </c>
      <c r="C114" s="13" t="inlineStr">
        <is>
          <t>prj-pro-services-105</t>
        </is>
      </c>
      <c r="D114" s="14" t="inlineStr">
        <is>
          <t>Pro Services</t>
        </is>
      </c>
      <c r="E114" s="13" t="inlineStr">
        <is>
          <t>europe-west1</t>
        </is>
      </c>
      <c r="F114" s="14" t="inlineStr">
        <is>
          <t>Google Kubernetes Engine</t>
        </is>
      </c>
      <c r="G114" s="14" t="inlineStr">
        <is>
          <t>Autopilot Pod Compute</t>
        </is>
      </c>
      <c r="H114" s="15" t="n">
        <v>5161.8</v>
      </c>
      <c r="I114" s="13" t="inlineStr">
        <is>
          <t>Active</t>
        </is>
      </c>
    </row>
    <row r="115">
      <c r="A115" s="13" t="inlineStr">
        <is>
          <t>TXN-1048</t>
        </is>
      </c>
      <c r="B115" s="13" t="inlineStr">
        <is>
          <t>2026-09-02</t>
        </is>
      </c>
      <c r="C115" s="13" t="inlineStr">
        <is>
          <t>prj-e-commerce-engine-103</t>
        </is>
      </c>
      <c r="D115" s="14" t="inlineStr">
        <is>
          <t>E-Commerce Engine</t>
        </is>
      </c>
      <c r="E115" s="13" t="inlineStr">
        <is>
          <t>southamerica-east1</t>
        </is>
      </c>
      <c r="F115" s="14" t="inlineStr">
        <is>
          <t>Compute Engine</t>
        </is>
      </c>
      <c r="G115" s="14" t="inlineStr">
        <is>
          <t>N2 Standard 8 vCPU</t>
        </is>
      </c>
      <c r="H115" s="15" t="n">
        <v>3728.66</v>
      </c>
      <c r="I115" s="13" t="inlineStr">
        <is>
          <t>Active</t>
        </is>
      </c>
    </row>
    <row r="116">
      <c r="A116" s="13" t="inlineStr">
        <is>
          <t>TXN-1438</t>
        </is>
      </c>
      <c r="B116" s="13" t="inlineStr">
        <is>
          <t>2026-09-08</t>
        </is>
      </c>
      <c r="C116" s="13" t="inlineStr">
        <is>
          <t>prj-e-commerce-engine-104</t>
        </is>
      </c>
      <c r="D116" s="14" t="inlineStr">
        <is>
          <t>E-Commerce Engine</t>
        </is>
      </c>
      <c r="E116" s="13" t="inlineStr">
        <is>
          <t>asia-east1</t>
        </is>
      </c>
      <c r="F116" s="14" t="inlineStr">
        <is>
          <t>BigQuery</t>
        </is>
      </c>
      <c r="G116" s="14" t="inlineStr">
        <is>
          <t>Analysis Slot Usage</t>
        </is>
      </c>
      <c r="H116" s="15" t="n">
        <v>6564.38</v>
      </c>
      <c r="I116" s="13" t="inlineStr">
        <is>
          <t>Active</t>
        </is>
      </c>
    </row>
    <row r="117">
      <c r="A117" s="13" t="inlineStr">
        <is>
          <t>TXN-1449</t>
        </is>
      </c>
      <c r="B117" s="13" t="inlineStr">
        <is>
          <t>2026-09-08</t>
        </is>
      </c>
      <c r="C117" s="13" t="inlineStr">
        <is>
          <t>prj-enterprise-saas-102</t>
        </is>
      </c>
      <c r="D117" s="14" t="inlineStr">
        <is>
          <t>Enterprise SaaS</t>
        </is>
      </c>
      <c r="E117" s="13" t="inlineStr">
        <is>
          <t>europe-west1</t>
        </is>
      </c>
      <c r="F117" s="14" t="inlineStr">
        <is>
          <t>Compute Engine</t>
        </is>
      </c>
      <c r="G117" s="14" t="inlineStr">
        <is>
          <t>N2 Standard 8 vCPU</t>
        </is>
      </c>
      <c r="H117" s="15" t="n">
        <v>5522.93</v>
      </c>
      <c r="I117" s="13" t="inlineStr">
        <is>
          <t>Active</t>
        </is>
      </c>
    </row>
    <row r="118">
      <c r="A118" s="13" t="inlineStr">
        <is>
          <t>TXN-1170</t>
        </is>
      </c>
      <c r="B118" s="13" t="inlineStr">
        <is>
          <t>2026-09-09</t>
        </is>
      </c>
      <c r="C118" s="13" t="inlineStr">
        <is>
          <t>prj-pro-services-103</t>
        </is>
      </c>
      <c r="D118" s="14" t="inlineStr">
        <is>
          <t>Pro Services</t>
        </is>
      </c>
      <c r="E118" s="13" t="inlineStr">
        <is>
          <t>asia-east1</t>
        </is>
      </c>
      <c r="F118" s="14" t="inlineStr">
        <is>
          <t>Google Kubernetes Engine</t>
        </is>
      </c>
      <c r="G118" s="14" t="inlineStr">
        <is>
          <t>Autopilot Pod Compute</t>
        </is>
      </c>
      <c r="H118" s="15" t="n">
        <v>9923.299999999999</v>
      </c>
      <c r="I118" s="13" t="inlineStr">
        <is>
          <t>Active</t>
        </is>
      </c>
    </row>
    <row r="119">
      <c r="A119" s="13" t="inlineStr">
        <is>
          <t>TXN-1243</t>
        </is>
      </c>
      <c r="B119" s="13" t="inlineStr">
        <is>
          <t>2026-09-02</t>
        </is>
      </c>
      <c r="C119" s="13" t="inlineStr">
        <is>
          <t>prj-global-logistics-101</t>
        </is>
      </c>
      <c r="D119" s="14" t="inlineStr">
        <is>
          <t>Global Logistics</t>
        </is>
      </c>
      <c r="E119" s="13" t="inlineStr">
        <is>
          <t>europe-west1</t>
        </is>
      </c>
      <c r="F119" s="14" t="inlineStr">
        <is>
          <t>Google Kubernetes Engine</t>
        </is>
      </c>
      <c r="G119" s="14" t="inlineStr">
        <is>
          <t>Autopilot Pod Compute</t>
        </is>
      </c>
      <c r="H119" s="15" t="n">
        <v>9043.809999999999</v>
      </c>
      <c r="I119" s="13" t="inlineStr">
        <is>
          <t>Active</t>
        </is>
      </c>
    </row>
    <row r="120">
      <c r="A120" s="13" t="inlineStr">
        <is>
          <t>TXN-1102</t>
        </is>
      </c>
      <c r="B120" s="13" t="inlineStr">
        <is>
          <t>2026-09-25</t>
        </is>
      </c>
      <c r="C120" s="13" t="inlineStr">
        <is>
          <t>prj-e-commerce-engine-104</t>
        </is>
      </c>
      <c r="D120" s="14" t="inlineStr">
        <is>
          <t>E-Commerce Engine</t>
        </is>
      </c>
      <c r="E120" s="13" t="inlineStr">
        <is>
          <t>us-central1</t>
        </is>
      </c>
      <c r="F120" s="14" t="inlineStr">
        <is>
          <t>Google Kubernetes Engine</t>
        </is>
      </c>
      <c r="G120" s="14" t="inlineStr">
        <is>
          <t>Autopilot Pod Compute</t>
        </is>
      </c>
      <c r="H120" s="15" t="n">
        <v>7861.88</v>
      </c>
      <c r="I120" s="13" t="inlineStr">
        <is>
          <t>Active</t>
        </is>
      </c>
    </row>
    <row r="121">
      <c r="A121" s="13" t="inlineStr">
        <is>
          <t>TXN-1451</t>
        </is>
      </c>
      <c r="B121" s="13" t="inlineStr">
        <is>
          <t>2026-09-01</t>
        </is>
      </c>
      <c r="C121" s="13" t="inlineStr">
        <is>
          <t>prj-enterprise-saas-104</t>
        </is>
      </c>
      <c r="D121" s="14" t="inlineStr">
        <is>
          <t>Enterprise SaaS</t>
        </is>
      </c>
      <c r="E121" s="13" t="inlineStr">
        <is>
          <t>southamerica-east1</t>
        </is>
      </c>
      <c r="F121" s="14" t="inlineStr">
        <is>
          <t>Google Kubernetes Engine</t>
        </is>
      </c>
      <c r="G121" s="14" t="inlineStr">
        <is>
          <t>Autopilot Pod Compute</t>
        </is>
      </c>
      <c r="H121" s="15" t="n">
        <v>5071.11</v>
      </c>
      <c r="I121" s="13" t="inlineStr">
        <is>
          <t>Active</t>
        </is>
      </c>
    </row>
    <row r="122">
      <c r="A122" s="13" t="inlineStr">
        <is>
          <t>TXN-1089</t>
        </is>
      </c>
      <c r="B122" s="13" t="inlineStr">
        <is>
          <t>2026-09-16</t>
        </is>
      </c>
      <c r="C122" s="13" t="inlineStr">
        <is>
          <t>prj-e-commerce-engine-104</t>
        </is>
      </c>
      <c r="D122" s="14" t="inlineStr">
        <is>
          <t>E-Commerce Engine</t>
        </is>
      </c>
      <c r="E122" s="13" t="inlineStr">
        <is>
          <t>us-central1</t>
        </is>
      </c>
      <c r="F122" s="14" t="inlineStr">
        <is>
          <t>Cloud SQL</t>
        </is>
      </c>
      <c r="G122" s="14" t="inlineStr">
        <is>
          <t>PostgreSQL High Availability</t>
        </is>
      </c>
      <c r="H122" s="15" t="n">
        <v>5601.48</v>
      </c>
      <c r="I122" s="13" t="inlineStr">
        <is>
          <t>Active</t>
        </is>
      </c>
    </row>
    <row r="123">
      <c r="A123" s="13" t="inlineStr">
        <is>
          <t>TXN-1054</t>
        </is>
      </c>
      <c r="B123" s="13" t="inlineStr">
        <is>
          <t>2026-09-11</t>
        </is>
      </c>
      <c r="C123" s="13" t="inlineStr">
        <is>
          <t>prj-global-logistics-102</t>
        </is>
      </c>
      <c r="D123" s="14" t="inlineStr">
        <is>
          <t>Global Logistics</t>
        </is>
      </c>
      <c r="E123" s="13" t="inlineStr">
        <is>
          <t>asia-east1</t>
        </is>
      </c>
      <c r="F123" s="14" t="inlineStr">
        <is>
          <t>Cloud SQL</t>
        </is>
      </c>
      <c r="G123" s="14" t="inlineStr">
        <is>
          <t>PostgreSQL High Availability</t>
        </is>
      </c>
      <c r="H123" s="15" t="n">
        <v>4850.92</v>
      </c>
      <c r="I123" s="13" t="inlineStr">
        <is>
          <t>Active</t>
        </is>
      </c>
    </row>
    <row r="124">
      <c r="A124" s="13" t="inlineStr">
        <is>
          <t>TXN-1328</t>
        </is>
      </c>
      <c r="B124" s="13" t="inlineStr">
        <is>
          <t>2026-09-29</t>
        </is>
      </c>
      <c r="C124" s="13" t="inlineStr">
        <is>
          <t>prj-hardware-and-iot-103</t>
        </is>
      </c>
      <c r="D124" s="14" t="inlineStr">
        <is>
          <t>Hardware &amp; IoT</t>
        </is>
      </c>
      <c r="E124" s="13" t="inlineStr">
        <is>
          <t>europe-west1</t>
        </is>
      </c>
      <c r="F124" s="14" t="inlineStr">
        <is>
          <t>Cloud Storage</t>
        </is>
      </c>
      <c r="G124" s="14" t="inlineStr">
        <is>
          <t>Standard Storage GB</t>
        </is>
      </c>
      <c r="H124" s="15" t="n">
        <v>2522.76</v>
      </c>
      <c r="I124" s="13" t="inlineStr">
        <is>
          <t>Active</t>
        </is>
      </c>
    </row>
    <row r="125">
      <c r="A125" s="13" t="inlineStr">
        <is>
          <t>TXN-1094</t>
        </is>
      </c>
      <c r="B125" s="13" t="inlineStr">
        <is>
          <t>2026-09-18</t>
        </is>
      </c>
      <c r="C125" s="13" t="inlineStr">
        <is>
          <t>prj-e-commerce-engine-105</t>
        </is>
      </c>
      <c r="D125" s="14" t="inlineStr">
        <is>
          <t>E-Commerce Engine</t>
        </is>
      </c>
      <c r="E125" s="13" t="inlineStr">
        <is>
          <t>asia-east1</t>
        </is>
      </c>
      <c r="F125" s="14" t="inlineStr">
        <is>
          <t>Cloud SQL</t>
        </is>
      </c>
      <c r="G125" s="14" t="inlineStr">
        <is>
          <t>PostgreSQL High Availability</t>
        </is>
      </c>
      <c r="H125" s="15" t="n">
        <v>5352.52</v>
      </c>
      <c r="I125" s="13" t="inlineStr">
        <is>
          <t>Active</t>
        </is>
      </c>
    </row>
    <row r="126">
      <c r="A126" s="13" t="inlineStr">
        <is>
          <t>TXN-1145</t>
        </is>
      </c>
      <c r="B126" s="13" t="inlineStr">
        <is>
          <t>2026-09-02</t>
        </is>
      </c>
      <c r="C126" s="13" t="inlineStr">
        <is>
          <t>prj-e-commerce-engine-102</t>
        </is>
      </c>
      <c r="D126" s="14" t="inlineStr">
        <is>
          <t>E-Commerce Engine</t>
        </is>
      </c>
      <c r="E126" s="13" t="inlineStr">
        <is>
          <t>us-central1</t>
        </is>
      </c>
      <c r="F126" s="14" t="inlineStr">
        <is>
          <t>Cloud Storage</t>
        </is>
      </c>
      <c r="G126" s="14" t="inlineStr">
        <is>
          <t>Standard Storage GB</t>
        </is>
      </c>
      <c r="H126" s="15" t="n">
        <v>1888.08</v>
      </c>
      <c r="I126" s="13" t="inlineStr">
        <is>
          <t>Active</t>
        </is>
      </c>
    </row>
    <row r="127">
      <c r="A127" s="13" t="inlineStr">
        <is>
          <t>TXN-1014</t>
        </is>
      </c>
      <c r="B127" s="13" t="inlineStr">
        <is>
          <t>2026-09-21</t>
        </is>
      </c>
      <c r="C127" s="13" t="inlineStr">
        <is>
          <t>prj-e-commerce-engine-101</t>
        </is>
      </c>
      <c r="D127" s="14" t="inlineStr">
        <is>
          <t>E-Commerce Engine</t>
        </is>
      </c>
      <c r="E127" s="13" t="inlineStr">
        <is>
          <t>europe-west1</t>
        </is>
      </c>
      <c r="F127" s="14" t="inlineStr">
        <is>
          <t>BigQuery</t>
        </is>
      </c>
      <c r="G127" s="14" t="inlineStr">
        <is>
          <t>Analysis Slot Usage</t>
        </is>
      </c>
      <c r="H127" s="15" t="n">
        <v>5259.76</v>
      </c>
      <c r="I127" s="13" t="inlineStr">
        <is>
          <t>Active</t>
        </is>
      </c>
    </row>
    <row r="128">
      <c r="A128" s="13" t="inlineStr">
        <is>
          <t>TXN-1252</t>
        </is>
      </c>
      <c r="B128" s="13" t="inlineStr">
        <is>
          <t>2026-09-28</t>
        </is>
      </c>
      <c r="C128" s="13" t="inlineStr">
        <is>
          <t>prj-hardware-and-iot-105</t>
        </is>
      </c>
      <c r="D128" s="14" t="inlineStr">
        <is>
          <t>Hardware &amp; IoT</t>
        </is>
      </c>
      <c r="E128" s="13" t="inlineStr">
        <is>
          <t>southamerica-east1</t>
        </is>
      </c>
      <c r="F128" s="14" t="inlineStr">
        <is>
          <t>Cloud SQL</t>
        </is>
      </c>
      <c r="G128" s="14" t="inlineStr">
        <is>
          <t>Promotional Credit / Outage SLA Refund</t>
        </is>
      </c>
      <c r="H128" s="15" t="n">
        <v>-872.67</v>
      </c>
      <c r="I128" s="13" t="inlineStr">
        <is>
          <t>Active</t>
        </is>
      </c>
    </row>
    <row r="129">
      <c r="A129" s="13" t="inlineStr">
        <is>
          <t>TXN-1051</t>
        </is>
      </c>
      <c r="B129" s="13" t="inlineStr">
        <is>
          <t>2026-09-28</t>
        </is>
      </c>
      <c r="C129" s="13" t="inlineStr">
        <is>
          <t>prj-global-logistics-105</t>
        </is>
      </c>
      <c r="D129" s="14" t="inlineStr">
        <is>
          <t>Global Logistics</t>
        </is>
      </c>
      <c r="E129" s="13" t="inlineStr">
        <is>
          <t>us-east4</t>
        </is>
      </c>
      <c r="F129" s="14" t="inlineStr">
        <is>
          <t>Compute Engine</t>
        </is>
      </c>
      <c r="G129" s="14" t="inlineStr">
        <is>
          <t>N2 Standard 8 vCPU</t>
        </is>
      </c>
      <c r="H129" s="15" t="n">
        <v>4484.86</v>
      </c>
      <c r="I129" s="13" t="inlineStr">
        <is>
          <t>Active</t>
        </is>
      </c>
    </row>
    <row r="130">
      <c r="A130" s="13" t="inlineStr">
        <is>
          <t>TXN-1345</t>
        </is>
      </c>
      <c r="B130" s="13" t="inlineStr">
        <is>
          <t>2026-09-06</t>
        </is>
      </c>
      <c r="C130" s="13" t="inlineStr">
        <is>
          <t>prj-pro-services-104</t>
        </is>
      </c>
      <c r="D130" s="14" t="inlineStr">
        <is>
          <t>Pro Services</t>
        </is>
      </c>
      <c r="E130" s="13" t="inlineStr">
        <is>
          <t>us-east4</t>
        </is>
      </c>
      <c r="F130" s="14" t="inlineStr">
        <is>
          <t>Cloud SQL</t>
        </is>
      </c>
      <c r="G130" s="14" t="inlineStr">
        <is>
          <t>PostgreSQL High Availability</t>
        </is>
      </c>
      <c r="H130" s="15" t="n">
        <v>3214.08</v>
      </c>
      <c r="I130" s="13" t="inlineStr">
        <is>
          <t>Active</t>
        </is>
      </c>
    </row>
    <row r="131">
      <c r="A131" s="13" t="inlineStr">
        <is>
          <t>TXN-1390</t>
        </is>
      </c>
      <c r="B131" s="13" t="inlineStr">
        <is>
          <t>2026-09-04</t>
        </is>
      </c>
      <c r="C131" s="13" t="inlineStr">
        <is>
          <t>prj-hardware-and-iot-105</t>
        </is>
      </c>
      <c r="D131" s="14" t="inlineStr">
        <is>
          <t>Hardware &amp; IoT</t>
        </is>
      </c>
      <c r="E131" s="13" t="inlineStr">
        <is>
          <t>asia-east1</t>
        </is>
      </c>
      <c r="F131" s="14" t="inlineStr">
        <is>
          <t>Cloud SQL</t>
        </is>
      </c>
      <c r="G131" s="14" t="inlineStr">
        <is>
          <t>PostgreSQL High Availability</t>
        </is>
      </c>
      <c r="H131" s="15" t="n">
        <v>4335.11</v>
      </c>
      <c r="I131" s="13" t="inlineStr">
        <is>
          <t>Active</t>
        </is>
      </c>
    </row>
    <row r="132">
      <c r="A132" s="13" t="inlineStr">
        <is>
          <t>TXN-1179</t>
        </is>
      </c>
      <c r="B132" s="13" t="inlineStr">
        <is>
          <t>2026-09-09</t>
        </is>
      </c>
      <c r="C132" s="13" t="inlineStr">
        <is>
          <t>prj-hardware-and-iot-101</t>
        </is>
      </c>
      <c r="D132" s="14" t="inlineStr">
        <is>
          <t>Hardware &amp; IoT</t>
        </is>
      </c>
      <c r="E132" s="13" t="inlineStr">
        <is>
          <t>southamerica-east1</t>
        </is>
      </c>
      <c r="F132" s="14" t="inlineStr">
        <is>
          <t>Cloud SQL</t>
        </is>
      </c>
      <c r="G132" s="14" t="inlineStr">
        <is>
          <t>PostgreSQL High Availability</t>
        </is>
      </c>
      <c r="H132" s="15" t="n">
        <v>5481.18</v>
      </c>
      <c r="I132" s="13" t="inlineStr">
        <is>
          <t>Active</t>
        </is>
      </c>
    </row>
    <row r="133">
      <c r="A133" s="13" t="inlineStr">
        <is>
          <t>TXN-1001</t>
        </is>
      </c>
      <c r="B133" s="13" t="inlineStr">
        <is>
          <t>2026-09-21</t>
        </is>
      </c>
      <c r="C133" s="13" t="inlineStr">
        <is>
          <t>prj-enterprise-saas-102</t>
        </is>
      </c>
      <c r="D133" s="14" t="inlineStr">
        <is>
          <t>Enterprise SaaS</t>
        </is>
      </c>
      <c r="E133" s="13" t="inlineStr">
        <is>
          <t>us-central1</t>
        </is>
      </c>
      <c r="F133" s="14" t="inlineStr">
        <is>
          <t>BigQuery</t>
        </is>
      </c>
      <c r="G133" s="14" t="inlineStr">
        <is>
          <t>Analysis Slot Usage</t>
        </is>
      </c>
      <c r="H133" s="15" t="n">
        <v>5227.66</v>
      </c>
      <c r="I133" s="13" t="inlineStr">
        <is>
          <t>Active</t>
        </is>
      </c>
    </row>
    <row r="134">
      <c r="A134" s="13" t="inlineStr">
        <is>
          <t>TXN-1241</t>
        </is>
      </c>
      <c r="B134" s="13" t="inlineStr">
        <is>
          <t>2026-09-17</t>
        </is>
      </c>
      <c r="C134" s="13" t="inlineStr">
        <is>
          <t>prj-global-logistics-104</t>
        </is>
      </c>
      <c r="D134" s="14" t="inlineStr">
        <is>
          <t>Global Logistics</t>
        </is>
      </c>
      <c r="E134" s="13" t="inlineStr">
        <is>
          <t>us-east4</t>
        </is>
      </c>
      <c r="F134" s="14" t="inlineStr">
        <is>
          <t>Cloud SQL</t>
        </is>
      </c>
      <c r="G134" s="14" t="inlineStr">
        <is>
          <t>PostgreSQL High Availability</t>
        </is>
      </c>
      <c r="H134" s="15" t="n">
        <v>3693.14</v>
      </c>
      <c r="I134" s="13" t="inlineStr">
        <is>
          <t>Active</t>
        </is>
      </c>
    </row>
    <row r="135">
      <c r="A135" s="13" t="inlineStr">
        <is>
          <t>TXN-1194</t>
        </is>
      </c>
      <c r="B135" s="13" t="inlineStr">
        <is>
          <t>2026-09-08</t>
        </is>
      </c>
      <c r="C135" s="13" t="inlineStr">
        <is>
          <t>prj-e-commerce-engine-102</t>
        </is>
      </c>
      <c r="D135" s="14" t="inlineStr">
        <is>
          <t>E-Commerce Engine</t>
        </is>
      </c>
      <c r="E135" s="13" t="inlineStr">
        <is>
          <t>asia-east1</t>
        </is>
      </c>
      <c r="F135" s="14" t="inlineStr">
        <is>
          <t>Cloud Storage</t>
        </is>
      </c>
      <c r="G135" s="14" t="inlineStr">
        <is>
          <t>Standard Storage GB</t>
        </is>
      </c>
      <c r="H135" s="15" t="n">
        <v>2814.32</v>
      </c>
      <c r="I135" s="13" t="inlineStr">
        <is>
          <t>Active</t>
        </is>
      </c>
    </row>
    <row r="136">
      <c r="A136" s="13" t="inlineStr">
        <is>
          <t>TXN-1339</t>
        </is>
      </c>
      <c r="B136" s="13" t="inlineStr">
        <is>
          <t>2026-09-17</t>
        </is>
      </c>
      <c r="C136" s="13" t="inlineStr">
        <is>
          <t>prj-global-logistics-102</t>
        </is>
      </c>
      <c r="D136" s="14" t="inlineStr">
        <is>
          <t>Global Logistics</t>
        </is>
      </c>
      <c r="E136" s="13" t="inlineStr">
        <is>
          <t>southamerica-east1</t>
        </is>
      </c>
      <c r="F136" s="14" t="inlineStr">
        <is>
          <t>Google Kubernetes Engine</t>
        </is>
      </c>
      <c r="G136" s="14" t="inlineStr">
        <is>
          <t>Autopilot Pod Compute</t>
        </is>
      </c>
      <c r="H136" s="15" t="n">
        <v>6027.2</v>
      </c>
      <c r="I136" s="13" t="inlineStr">
        <is>
          <t>Active</t>
        </is>
      </c>
    </row>
    <row r="137">
      <c r="A137" s="13" t="inlineStr">
        <is>
          <t>TXN-1383</t>
        </is>
      </c>
      <c r="B137" s="13" t="inlineStr">
        <is>
          <t>2026-09-22</t>
        </is>
      </c>
      <c r="C137" s="13" t="inlineStr">
        <is>
          <t>prj-e-commerce-engine-101</t>
        </is>
      </c>
      <c r="D137" s="14" t="inlineStr">
        <is>
          <t>E-Commerce Engine</t>
        </is>
      </c>
      <c r="E137" s="13" t="inlineStr">
        <is>
          <t>europe-west1</t>
        </is>
      </c>
      <c r="F137" s="14" t="inlineStr">
        <is>
          <t>Cloud Storage</t>
        </is>
      </c>
      <c r="G137" s="14" t="inlineStr">
        <is>
          <t>Standard Storage GB</t>
        </is>
      </c>
      <c r="H137" s="15" t="n">
        <v>1460.51</v>
      </c>
      <c r="I137" s="13" t="inlineStr">
        <is>
          <t>Active</t>
        </is>
      </c>
    </row>
    <row r="138">
      <c r="A138" s="13" t="inlineStr">
        <is>
          <t>TXN-1357</t>
        </is>
      </c>
      <c r="B138" s="13" t="inlineStr">
        <is>
          <t>2026-09-12</t>
        </is>
      </c>
      <c r="C138" s="13" t="inlineStr">
        <is>
          <t>prj-e-commerce-engine-104</t>
        </is>
      </c>
      <c r="D138" s="14" t="inlineStr">
        <is>
          <t>E-Commerce Engine</t>
        </is>
      </c>
      <c r="E138" s="13" t="inlineStr">
        <is>
          <t>asia-east1</t>
        </is>
      </c>
      <c r="F138" s="14" t="inlineStr">
        <is>
          <t>Compute Engine</t>
        </is>
      </c>
      <c r="G138" s="14" t="inlineStr">
        <is>
          <t>N2 Standard 8 vCPU</t>
        </is>
      </c>
      <c r="H138" s="15" t="n">
        <v>5517.02</v>
      </c>
      <c r="I138" s="13" t="inlineStr">
        <is>
          <t>Active</t>
        </is>
      </c>
    </row>
    <row r="139">
      <c r="A139" s="13" t="inlineStr">
        <is>
          <t>TXN-1423</t>
        </is>
      </c>
      <c r="B139" s="13" t="inlineStr">
        <is>
          <t>2026-09-25</t>
        </is>
      </c>
      <c r="C139" s="13" t="inlineStr">
        <is>
          <t>prj-enterprise-saas-103</t>
        </is>
      </c>
      <c r="D139" s="14" t="inlineStr">
        <is>
          <t>Enterprise SaaS</t>
        </is>
      </c>
      <c r="E139" s="13" t="inlineStr">
        <is>
          <t>europe-west1</t>
        </is>
      </c>
      <c r="F139" s="14" t="inlineStr">
        <is>
          <t>Google Kubernetes Engine</t>
        </is>
      </c>
      <c r="G139" s="14" t="inlineStr">
        <is>
          <t>Autopilot Pod Compute</t>
        </is>
      </c>
      <c r="H139" s="15" t="n">
        <v>6404.97</v>
      </c>
      <c r="I139" s="13" t="inlineStr">
        <is>
          <t>Active</t>
        </is>
      </c>
    </row>
    <row r="140">
      <c r="A140" s="13" t="inlineStr">
        <is>
          <t>TXN-1210</t>
        </is>
      </c>
      <c r="B140" s="13" t="inlineStr">
        <is>
          <t>2026-09-08</t>
        </is>
      </c>
      <c r="C140" s="13" t="inlineStr">
        <is>
          <t>prj-hardware-and-iot-105</t>
        </is>
      </c>
      <c r="D140" s="14" t="inlineStr">
        <is>
          <t>Hardware &amp; IoT</t>
        </is>
      </c>
      <c r="E140" s="13" t="inlineStr">
        <is>
          <t>us-central1</t>
        </is>
      </c>
      <c r="F140" s="14" t="inlineStr">
        <is>
          <t>BigQuery</t>
        </is>
      </c>
      <c r="G140" s="14" t="inlineStr">
        <is>
          <t>Analysis Slot Usage</t>
        </is>
      </c>
      <c r="H140" s="15" t="n">
        <v>8959.33</v>
      </c>
      <c r="I140" s="13" t="inlineStr">
        <is>
          <t>Active</t>
        </is>
      </c>
    </row>
    <row r="141">
      <c r="A141" s="13" t="inlineStr">
        <is>
          <t>TXN-1096</t>
        </is>
      </c>
      <c r="B141" s="13" t="inlineStr">
        <is>
          <t>2026-09-24</t>
        </is>
      </c>
      <c r="C141" s="13" t="inlineStr">
        <is>
          <t>prj-pro-services-102</t>
        </is>
      </c>
      <c r="D141" s="14" t="inlineStr">
        <is>
          <t>Pro Services</t>
        </is>
      </c>
      <c r="E141" s="13" t="inlineStr">
        <is>
          <t>us-east4</t>
        </is>
      </c>
      <c r="F141" s="14" t="inlineStr">
        <is>
          <t>BigQuery</t>
        </is>
      </c>
      <c r="G141" s="14" t="inlineStr">
        <is>
          <t>Analysis Slot Usage</t>
        </is>
      </c>
      <c r="H141" s="15" t="n">
        <v>8619.25</v>
      </c>
      <c r="I141" s="13" t="inlineStr">
        <is>
          <t>Active</t>
        </is>
      </c>
    </row>
    <row r="142">
      <c r="A142" s="13" t="inlineStr">
        <is>
          <t>TXN-1006</t>
        </is>
      </c>
      <c r="B142" s="13" t="inlineStr">
        <is>
          <t>2026-09-07</t>
        </is>
      </c>
      <c r="C142" s="13" t="inlineStr">
        <is>
          <t>prj-hardware-and-iot-104</t>
        </is>
      </c>
      <c r="D142" s="14" t="inlineStr">
        <is>
          <t>Hardware &amp; IoT</t>
        </is>
      </c>
      <c r="E142" s="13" t="inlineStr">
        <is>
          <t>us-central1</t>
        </is>
      </c>
      <c r="F142" s="14" t="inlineStr">
        <is>
          <t>Compute Engine</t>
        </is>
      </c>
      <c r="G142" s="14" t="inlineStr">
        <is>
          <t>N2 Standard 8 vCPU</t>
        </is>
      </c>
      <c r="H142" s="15" t="n">
        <v>3886.87</v>
      </c>
      <c r="I142" s="13" t="inlineStr">
        <is>
          <t>Active</t>
        </is>
      </c>
    </row>
    <row r="143">
      <c r="A143" s="13" t="inlineStr">
        <is>
          <t>TXN-1469</t>
        </is>
      </c>
      <c r="B143" s="13" t="inlineStr">
        <is>
          <t>2026-09-22</t>
        </is>
      </c>
      <c r="C143" s="13" t="inlineStr">
        <is>
          <t>prj-pro-services-103</t>
        </is>
      </c>
      <c r="D143" s="14" t="inlineStr">
        <is>
          <t>Pro Services</t>
        </is>
      </c>
      <c r="E143" s="13" t="inlineStr">
        <is>
          <t>us-central1</t>
        </is>
      </c>
      <c r="F143" s="14" t="inlineStr">
        <is>
          <t>Google Kubernetes Engine</t>
        </is>
      </c>
      <c r="G143" s="14" t="inlineStr">
        <is>
          <t>Autopilot Pod Compute</t>
        </is>
      </c>
      <c r="H143" s="15" t="n">
        <v>9788.33</v>
      </c>
      <c r="I143" s="13" t="inlineStr">
        <is>
          <t>Active</t>
        </is>
      </c>
    </row>
    <row r="144">
      <c r="A144" s="13" t="inlineStr">
        <is>
          <t>TXN-1199</t>
        </is>
      </c>
      <c r="B144" s="13" t="inlineStr">
        <is>
          <t>2026-09-09</t>
        </is>
      </c>
      <c r="C144" s="13" t="inlineStr">
        <is>
          <t>prj-pro-services-101</t>
        </is>
      </c>
      <c r="D144" s="14" t="inlineStr">
        <is>
          <t>Pro Services</t>
        </is>
      </c>
      <c r="E144" s="13" t="inlineStr">
        <is>
          <t>asia-east1</t>
        </is>
      </c>
      <c r="F144" s="14" t="inlineStr">
        <is>
          <t>BigQuery</t>
        </is>
      </c>
      <c r="G144" s="14" t="inlineStr">
        <is>
          <t>Analysis Slot Usage</t>
        </is>
      </c>
      <c r="H144" s="15" t="n">
        <v>6575.82</v>
      </c>
      <c r="I144" s="13" t="inlineStr">
        <is>
          <t>Active</t>
        </is>
      </c>
    </row>
    <row r="145">
      <c r="A145" s="13" t="inlineStr">
        <is>
          <t>TXN-1409</t>
        </is>
      </c>
      <c r="B145" s="13" t="inlineStr">
        <is>
          <t>2026-09-26</t>
        </is>
      </c>
      <c r="C145" s="13" t="inlineStr">
        <is>
          <t>prj-hardware-and-iot-103</t>
        </is>
      </c>
      <c r="D145" s="14" t="inlineStr">
        <is>
          <t>Hardware &amp; IoT</t>
        </is>
      </c>
      <c r="E145" s="13" t="inlineStr">
        <is>
          <t>us-central1</t>
        </is>
      </c>
      <c r="F145" s="14" t="inlineStr">
        <is>
          <t>Cloud SQL</t>
        </is>
      </c>
      <c r="G145" s="14" t="inlineStr">
        <is>
          <t>PostgreSQL High Availability</t>
        </is>
      </c>
      <c r="H145" s="15" t="n">
        <v>5357.59</v>
      </c>
      <c r="I145" s="13" t="inlineStr">
        <is>
          <t>Active</t>
        </is>
      </c>
    </row>
    <row r="146">
      <c r="A146" s="13" t="inlineStr">
        <is>
          <t>TXN-1117</t>
        </is>
      </c>
      <c r="B146" s="13" t="inlineStr">
        <is>
          <t>2026-09-07</t>
        </is>
      </c>
      <c r="C146" s="13" t="inlineStr">
        <is>
          <t>prj-enterprise-saas-101</t>
        </is>
      </c>
      <c r="D146" s="14" t="inlineStr">
        <is>
          <t>Enterprise SaaS</t>
        </is>
      </c>
      <c r="E146" s="13" t="inlineStr">
        <is>
          <t>southamerica-east1</t>
        </is>
      </c>
      <c r="F146" s="14" t="inlineStr">
        <is>
          <t>Cloud Storage</t>
        </is>
      </c>
      <c r="G146" s="14" t="inlineStr">
        <is>
          <t>Standard Storage GB</t>
        </is>
      </c>
      <c r="H146" s="15" t="n">
        <v>3012.7</v>
      </c>
      <c r="I146" s="13" t="inlineStr">
        <is>
          <t>Active</t>
        </is>
      </c>
    </row>
    <row r="147">
      <c r="A147" s="13" t="inlineStr">
        <is>
          <t>TXN-1015</t>
        </is>
      </c>
      <c r="B147" s="13" t="inlineStr">
        <is>
          <t>2026-09-02</t>
        </is>
      </c>
      <c r="C147" s="13" t="inlineStr">
        <is>
          <t>prj-hardware-and-iot-101</t>
        </is>
      </c>
      <c r="D147" s="14" t="inlineStr">
        <is>
          <t>Hardware &amp; IoT</t>
        </is>
      </c>
      <c r="E147" s="13" t="inlineStr">
        <is>
          <t>us-east4</t>
        </is>
      </c>
      <c r="F147" s="14" t="inlineStr">
        <is>
          <t>BigQuery</t>
        </is>
      </c>
      <c r="G147" s="14" t="inlineStr">
        <is>
          <t>Analysis Slot Usage</t>
        </is>
      </c>
      <c r="H147" s="15" t="n">
        <v>5160.41</v>
      </c>
      <c r="I147" s="13" t="inlineStr">
        <is>
          <t>Active</t>
        </is>
      </c>
    </row>
    <row r="148">
      <c r="A148" s="13" t="inlineStr">
        <is>
          <t>TXN-1234</t>
        </is>
      </c>
      <c r="B148" s="13" t="inlineStr">
        <is>
          <t>2026-09-04</t>
        </is>
      </c>
      <c r="C148" s="13" t="inlineStr">
        <is>
          <t>prj-e-commerce-engine-102</t>
        </is>
      </c>
      <c r="D148" s="14" t="inlineStr">
        <is>
          <t>E-Commerce Engine</t>
        </is>
      </c>
      <c r="E148" s="13" t="inlineStr">
        <is>
          <t>southamerica-east1</t>
        </is>
      </c>
      <c r="F148" s="14" t="inlineStr">
        <is>
          <t>Cloud Storage</t>
        </is>
      </c>
      <c r="G148" s="14" t="inlineStr">
        <is>
          <t>Standard Storage GB</t>
        </is>
      </c>
      <c r="H148" s="15" t="n">
        <v>2907.51</v>
      </c>
      <c r="I148" s="13" t="inlineStr">
        <is>
          <t>Active</t>
        </is>
      </c>
    </row>
    <row r="149">
      <c r="A149" s="13" t="inlineStr">
        <is>
          <t>TXN-1437</t>
        </is>
      </c>
      <c r="B149" s="13" t="inlineStr">
        <is>
          <t>2026-09-25</t>
        </is>
      </c>
      <c r="C149" s="13" t="inlineStr">
        <is>
          <t>prj-pro-services-102</t>
        </is>
      </c>
      <c r="D149" s="14" t="inlineStr">
        <is>
          <t>Pro Services</t>
        </is>
      </c>
      <c r="E149" s="13" t="inlineStr">
        <is>
          <t>europe-west1</t>
        </is>
      </c>
      <c r="F149" s="14" t="inlineStr">
        <is>
          <t>Google Kubernetes Engine</t>
        </is>
      </c>
      <c r="G149" s="14" t="inlineStr">
        <is>
          <t>Autopilot Pod Compute</t>
        </is>
      </c>
      <c r="H149" s="15" t="n">
        <v>7379.79</v>
      </c>
      <c r="I149" s="13" t="inlineStr">
        <is>
          <t>Active</t>
        </is>
      </c>
    </row>
    <row r="150">
      <c r="A150" s="13" t="inlineStr">
        <is>
          <t>TXN-1095</t>
        </is>
      </c>
      <c r="B150" s="13" t="inlineStr">
        <is>
          <t>2026-09-29</t>
        </is>
      </c>
      <c r="C150" s="13" t="inlineStr">
        <is>
          <t>prj-e-commerce-engine-104</t>
        </is>
      </c>
      <c r="D150" s="14" t="inlineStr">
        <is>
          <t>E-Commerce Engine</t>
        </is>
      </c>
      <c r="E150" s="13" t="inlineStr">
        <is>
          <t>us-east4</t>
        </is>
      </c>
      <c r="F150" s="14" t="inlineStr">
        <is>
          <t>Google Kubernetes Engine</t>
        </is>
      </c>
      <c r="G150" s="14" t="inlineStr">
        <is>
          <t>Autopilot Pod Compute</t>
        </is>
      </c>
      <c r="H150" s="15" t="n">
        <v>10383.25</v>
      </c>
      <c r="I150" s="13" t="inlineStr">
        <is>
          <t>Active</t>
        </is>
      </c>
    </row>
    <row r="151">
      <c r="A151" s="13" t="inlineStr">
        <is>
          <t>TXN-1389</t>
        </is>
      </c>
      <c r="B151" s="13" t="inlineStr">
        <is>
          <t>2026-09-06</t>
        </is>
      </c>
      <c r="C151" s="13" t="inlineStr">
        <is>
          <t>prj-hardware-and-iot-103</t>
        </is>
      </c>
      <c r="D151" s="14" t="inlineStr">
        <is>
          <t>Hardware &amp; IoT</t>
        </is>
      </c>
      <c r="E151" s="13" t="inlineStr">
        <is>
          <t>us-central1</t>
        </is>
      </c>
      <c r="F151" s="14" t="inlineStr">
        <is>
          <t>Compute Engine</t>
        </is>
      </c>
      <c r="G151" s="14" t="inlineStr">
        <is>
          <t>N2 Standard 8 vCPU</t>
        </is>
      </c>
      <c r="H151" s="15" t="n">
        <v>5771.85</v>
      </c>
      <c r="I151" s="13" t="inlineStr">
        <is>
          <t>Active</t>
        </is>
      </c>
    </row>
    <row r="152">
      <c r="A152" s="13" t="inlineStr">
        <is>
          <t>TXN-1209</t>
        </is>
      </c>
      <c r="B152" s="13" t="inlineStr">
        <is>
          <t>2026-09-09</t>
        </is>
      </c>
      <c r="C152" s="13" t="inlineStr">
        <is>
          <t>prj-enterprise-saas-104</t>
        </is>
      </c>
      <c r="D152" s="14" t="inlineStr">
        <is>
          <t>Enterprise SaaS</t>
        </is>
      </c>
      <c r="E152" s="13" t="inlineStr">
        <is>
          <t>asia-east1</t>
        </is>
      </c>
      <c r="F152" s="14" t="inlineStr">
        <is>
          <t>Cloud Storage</t>
        </is>
      </c>
      <c r="G152" s="14" t="inlineStr">
        <is>
          <t>Standard Storage GB</t>
        </is>
      </c>
      <c r="H152" s="15" t="n">
        <v>2356.21</v>
      </c>
      <c r="I152" s="13" t="inlineStr">
        <is>
          <t>Active</t>
        </is>
      </c>
    </row>
    <row r="153">
      <c r="A153" s="13" t="inlineStr">
        <is>
          <t>TXN-1097</t>
        </is>
      </c>
      <c r="B153" s="13" t="inlineStr">
        <is>
          <t>2026-09-09</t>
        </is>
      </c>
      <c r="C153" s="13" t="inlineStr">
        <is>
          <t>prj-e-commerce-engine-103</t>
        </is>
      </c>
      <c r="D153" s="14" t="inlineStr">
        <is>
          <t>E-Commerce Engine</t>
        </is>
      </c>
      <c r="E153" s="13" t="inlineStr">
        <is>
          <t>us-east4</t>
        </is>
      </c>
      <c r="F153" s="14" t="inlineStr">
        <is>
          <t>Cloud Storage</t>
        </is>
      </c>
      <c r="G153" s="14" t="inlineStr">
        <is>
          <t>Standard Storage GB</t>
        </is>
      </c>
      <c r="H153" s="15" t="n">
        <v>2343.67</v>
      </c>
      <c r="I153" s="13" t="inlineStr">
        <is>
          <t>Active</t>
        </is>
      </c>
    </row>
    <row r="154">
      <c r="A154" s="13" t="inlineStr">
        <is>
          <t>TXN-1414</t>
        </is>
      </c>
      <c r="B154" s="13" t="inlineStr">
        <is>
          <t>2026-09-30</t>
        </is>
      </c>
      <c r="C154" s="13" t="inlineStr">
        <is>
          <t>prj-pro-services-105</t>
        </is>
      </c>
      <c r="D154" s="14" t="inlineStr">
        <is>
          <t>Pro Services</t>
        </is>
      </c>
      <c r="E154" s="13" t="inlineStr">
        <is>
          <t>us-east4</t>
        </is>
      </c>
      <c r="F154" s="14" t="inlineStr">
        <is>
          <t>Compute Engine</t>
        </is>
      </c>
      <c r="G154" s="14" t="inlineStr">
        <is>
          <t>N2 Standard 8 vCPU</t>
        </is>
      </c>
      <c r="H154" s="15" t="n">
        <v>4031.96</v>
      </c>
      <c r="I154" s="13" t="inlineStr">
        <is>
          <t>Active</t>
        </is>
      </c>
    </row>
    <row r="155">
      <c r="A155" s="13" t="inlineStr">
        <is>
          <t>TXN-1253</t>
        </is>
      </c>
      <c r="B155" s="13" t="inlineStr">
        <is>
          <t>2026-09-21</t>
        </is>
      </c>
      <c r="C155" s="13" t="inlineStr">
        <is>
          <t>prj-pro-services-104</t>
        </is>
      </c>
      <c r="D155" s="14" t="inlineStr">
        <is>
          <t>Pro Services</t>
        </is>
      </c>
      <c r="E155" s="13" t="inlineStr">
        <is>
          <t>asia-east1</t>
        </is>
      </c>
      <c r="F155" s="14" t="inlineStr">
        <is>
          <t>Compute Engine</t>
        </is>
      </c>
      <c r="G155" s="14" t="inlineStr">
        <is>
          <t>N2 Standard 8 vCPU</t>
        </is>
      </c>
      <c r="H155" s="15" t="n">
        <v>3583.43</v>
      </c>
      <c r="I155" s="13" t="inlineStr">
        <is>
          <t>Active</t>
        </is>
      </c>
    </row>
    <row r="156">
      <c r="A156" s="13" t="inlineStr">
        <is>
          <t>TXN-1418</t>
        </is>
      </c>
      <c r="B156" s="13" t="inlineStr">
        <is>
          <t>2026-09-08</t>
        </is>
      </c>
      <c r="C156" s="13" t="inlineStr">
        <is>
          <t>prj-pro-services-103</t>
        </is>
      </c>
      <c r="D156" s="14" t="inlineStr"/>
      <c r="E156" s="13" t="inlineStr">
        <is>
          <t>asia-east1</t>
        </is>
      </c>
      <c r="F156" s="14" t="inlineStr">
        <is>
          <t>Cloud Storage</t>
        </is>
      </c>
      <c r="G156" s="14" t="inlineStr">
        <is>
          <t>Standard Storage GB</t>
        </is>
      </c>
      <c r="H156" s="15" t="n">
        <v>1690.05</v>
      </c>
      <c r="I156" s="13" t="inlineStr">
        <is>
          <t>Active</t>
        </is>
      </c>
    </row>
    <row r="157">
      <c r="A157" s="13" t="inlineStr">
        <is>
          <t>TXN-1080</t>
        </is>
      </c>
      <c r="B157" s="13" t="inlineStr">
        <is>
          <t>2026-09-03</t>
        </is>
      </c>
      <c r="C157" s="13" t="inlineStr">
        <is>
          <t>prj-hardware-and-iot-101</t>
        </is>
      </c>
      <c r="D157" s="14" t="inlineStr">
        <is>
          <t>Hardware &amp; IoT</t>
        </is>
      </c>
      <c r="E157" s="13" t="inlineStr">
        <is>
          <t>southamerica-east1</t>
        </is>
      </c>
      <c r="F157" s="14" t="inlineStr">
        <is>
          <t>BigQuery</t>
        </is>
      </c>
      <c r="G157" s="14" t="inlineStr">
        <is>
          <t>Analysis Slot Usage</t>
        </is>
      </c>
      <c r="H157" s="15" t="n">
        <v>7958.65</v>
      </c>
      <c r="I157" s="13" t="inlineStr">
        <is>
          <t>Active</t>
        </is>
      </c>
    </row>
    <row r="158">
      <c r="A158" s="13" t="inlineStr">
        <is>
          <t>TXN-1346</t>
        </is>
      </c>
      <c r="B158" s="13" t="inlineStr">
        <is>
          <t>2026-09-20</t>
        </is>
      </c>
      <c r="C158" s="13" t="inlineStr">
        <is>
          <t>prj-global-logistics-103</t>
        </is>
      </c>
      <c r="D158" s="14" t="inlineStr">
        <is>
          <t>Global Logistics</t>
        </is>
      </c>
      <c r="E158" s="13" t="inlineStr">
        <is>
          <t>asia-east1</t>
        </is>
      </c>
      <c r="F158" s="14" t="inlineStr">
        <is>
          <t>BigQuery</t>
        </is>
      </c>
      <c r="G158" s="14" t="inlineStr">
        <is>
          <t>Analysis Slot Usage</t>
        </is>
      </c>
      <c r="H158" s="15" t="n">
        <v>9364.559999999999</v>
      </c>
      <c r="I158" s="13" t="inlineStr">
        <is>
          <t>Active</t>
        </is>
      </c>
    </row>
    <row r="159">
      <c r="A159" s="13" t="inlineStr">
        <is>
          <t>TXN-1385</t>
        </is>
      </c>
      <c r="B159" s="13" t="inlineStr">
        <is>
          <t>2026-09-30</t>
        </is>
      </c>
      <c r="C159" s="13" t="inlineStr">
        <is>
          <t>prj-global-logistics-104</t>
        </is>
      </c>
      <c r="D159" s="14" t="inlineStr">
        <is>
          <t>Global Logistics</t>
        </is>
      </c>
      <c r="E159" s="13" t="inlineStr">
        <is>
          <t>us-east4</t>
        </is>
      </c>
      <c r="F159" s="14" t="inlineStr">
        <is>
          <t>Cloud SQL</t>
        </is>
      </c>
      <c r="G159" s="14" t="inlineStr">
        <is>
          <t>PostgreSQL High Availability</t>
        </is>
      </c>
      <c r="H159" s="15" t="n">
        <v>4776.89</v>
      </c>
      <c r="I159" s="13" t="inlineStr">
        <is>
          <t>Active</t>
        </is>
      </c>
    </row>
    <row r="160">
      <c r="A160" s="13" t="inlineStr">
        <is>
          <t>TXN-1085</t>
        </is>
      </c>
      <c r="B160" s="13" t="inlineStr">
        <is>
          <t>2026-09-19</t>
        </is>
      </c>
      <c r="C160" s="13" t="inlineStr">
        <is>
          <t>prj-e-commerce-engine-104</t>
        </is>
      </c>
      <c r="D160" s="14" t="inlineStr">
        <is>
          <t>E-Commerce Engine</t>
        </is>
      </c>
      <c r="E160" s="13" t="inlineStr">
        <is>
          <t>asia-east1</t>
        </is>
      </c>
      <c r="F160" s="14" t="inlineStr">
        <is>
          <t>Cloud SQL</t>
        </is>
      </c>
      <c r="G160" s="14" t="inlineStr">
        <is>
          <t>PostgreSQL High Availability</t>
        </is>
      </c>
      <c r="H160" s="15" t="n">
        <v>4047.56</v>
      </c>
      <c r="I160" s="13" t="inlineStr">
        <is>
          <t>Active</t>
        </is>
      </c>
    </row>
    <row r="161">
      <c r="A161" s="13" t="inlineStr">
        <is>
          <t>TXN-1226</t>
        </is>
      </c>
      <c r="B161" s="13" t="inlineStr">
        <is>
          <t>2026-09-20</t>
        </is>
      </c>
      <c r="C161" s="13" t="inlineStr">
        <is>
          <t>prj-pro-services-105</t>
        </is>
      </c>
      <c r="D161" s="14" t="inlineStr"/>
      <c r="E161" s="13" t="inlineStr">
        <is>
          <t>us-central1</t>
        </is>
      </c>
      <c r="F161" s="14" t="inlineStr">
        <is>
          <t>Compute Engine</t>
        </is>
      </c>
      <c r="G161" s="14" t="inlineStr">
        <is>
          <t>N2 Standard 8 vCPU</t>
        </is>
      </c>
      <c r="H161" s="15" t="n">
        <v>6383.36</v>
      </c>
      <c r="I161" s="13" t="inlineStr">
        <is>
          <t>Active</t>
        </is>
      </c>
    </row>
    <row r="162">
      <c r="A162" s="13" t="inlineStr">
        <is>
          <t>TXN-1270</t>
        </is>
      </c>
      <c r="B162" s="13" t="inlineStr">
        <is>
          <t>2026-09-15</t>
        </is>
      </c>
      <c r="C162" s="13" t="inlineStr">
        <is>
          <t>prj-e-commerce-engine-102</t>
        </is>
      </c>
      <c r="D162" s="14" t="inlineStr">
        <is>
          <t>E-Commerce Engine</t>
        </is>
      </c>
      <c r="E162" s="13" t="inlineStr">
        <is>
          <t>southamerica-east1</t>
        </is>
      </c>
      <c r="F162" s="14" t="inlineStr">
        <is>
          <t>Google Kubernetes Engine</t>
        </is>
      </c>
      <c r="G162" s="14" t="inlineStr">
        <is>
          <t>Autopilot Pod Compute</t>
        </is>
      </c>
      <c r="H162" s="15" t="n">
        <v>7183.39</v>
      </c>
      <c r="I162" s="13" t="inlineStr">
        <is>
          <t>Active</t>
        </is>
      </c>
    </row>
    <row r="163">
      <c r="A163" s="13" t="inlineStr">
        <is>
          <t>TXN-1198</t>
        </is>
      </c>
      <c r="B163" s="13" t="inlineStr">
        <is>
          <t>2026-09-29</t>
        </is>
      </c>
      <c r="C163" s="13" t="inlineStr">
        <is>
          <t>prj-hardware-and-iot-103</t>
        </is>
      </c>
      <c r="D163" s="14" t="inlineStr">
        <is>
          <t>Hardware &amp; IoT</t>
        </is>
      </c>
      <c r="E163" s="13" t="inlineStr">
        <is>
          <t>southamerica-east1</t>
        </is>
      </c>
      <c r="F163" s="14" t="inlineStr">
        <is>
          <t>Google Kubernetes Engine</t>
        </is>
      </c>
      <c r="G163" s="14" t="inlineStr">
        <is>
          <t>Autopilot Pod Compute</t>
        </is>
      </c>
      <c r="H163" s="15" t="n">
        <v>9982.84</v>
      </c>
      <c r="I163" s="13" t="inlineStr">
        <is>
          <t>Active</t>
        </is>
      </c>
    </row>
    <row r="164">
      <c r="A164" s="13" t="inlineStr">
        <is>
          <t>TXN-1301</t>
        </is>
      </c>
      <c r="B164" s="13" t="inlineStr">
        <is>
          <t>2026-09-12</t>
        </is>
      </c>
      <c r="C164" s="13" t="inlineStr">
        <is>
          <t>prj-enterprise-saas-105</t>
        </is>
      </c>
      <c r="D164" s="14" t="inlineStr">
        <is>
          <t>Enterprise SaaS</t>
        </is>
      </c>
      <c r="E164" s="13" t="inlineStr">
        <is>
          <t>southamerica-east1</t>
        </is>
      </c>
      <c r="F164" s="14" t="inlineStr">
        <is>
          <t>Google Kubernetes Engine</t>
        </is>
      </c>
      <c r="G164" s="14" t="inlineStr">
        <is>
          <t>Autopilot Pod Compute</t>
        </is>
      </c>
      <c r="H164" s="15" t="n">
        <v>9718.469999999999</v>
      </c>
      <c r="I164" s="13" t="inlineStr">
        <is>
          <t>Active</t>
        </is>
      </c>
    </row>
    <row r="165">
      <c r="A165" s="13" t="inlineStr">
        <is>
          <t>TXN-1125</t>
        </is>
      </c>
      <c r="B165" s="13" t="inlineStr">
        <is>
          <t>2026-09-22</t>
        </is>
      </c>
      <c r="C165" s="13" t="inlineStr">
        <is>
          <t>prj-pro-services-104</t>
        </is>
      </c>
      <c r="D165" s="14" t="inlineStr">
        <is>
          <t>Pro Services</t>
        </is>
      </c>
      <c r="E165" s="13" t="inlineStr">
        <is>
          <t>asia-east1</t>
        </is>
      </c>
      <c r="F165" s="14" t="inlineStr">
        <is>
          <t>Compute Engine</t>
        </is>
      </c>
      <c r="G165" s="14" t="inlineStr">
        <is>
          <t>N2 Standard 8 vCPU</t>
        </is>
      </c>
      <c r="H165" s="15" t="n">
        <v>6903.81</v>
      </c>
      <c r="I165" s="13" t="inlineStr">
        <is>
          <t>Active</t>
        </is>
      </c>
    </row>
    <row r="166">
      <c r="A166" s="13" t="inlineStr">
        <is>
          <t>TXN-1312</t>
        </is>
      </c>
      <c r="B166" s="13" t="inlineStr">
        <is>
          <t>2026-09-16</t>
        </is>
      </c>
      <c r="C166" s="13" t="inlineStr">
        <is>
          <t>prj-hardware-and-iot-101</t>
        </is>
      </c>
      <c r="D166" s="14" t="inlineStr">
        <is>
          <t>Hardware &amp; IoT</t>
        </is>
      </c>
      <c r="E166" s="13" t="inlineStr">
        <is>
          <t>southamerica-east1</t>
        </is>
      </c>
      <c r="F166" s="14" t="inlineStr">
        <is>
          <t>BigQuery</t>
        </is>
      </c>
      <c r="G166" s="14" t="inlineStr">
        <is>
          <t>Analysis Slot Usage</t>
        </is>
      </c>
      <c r="H166" s="15" t="n">
        <v>7998.95</v>
      </c>
      <c r="I166" s="13" t="inlineStr">
        <is>
          <t>Active</t>
        </is>
      </c>
    </row>
    <row r="167">
      <c r="A167" s="13" t="inlineStr">
        <is>
          <t>TXN-1127</t>
        </is>
      </c>
      <c r="B167" s="13" t="inlineStr">
        <is>
          <t>2026-09-29</t>
        </is>
      </c>
      <c r="C167" s="13" t="inlineStr">
        <is>
          <t>prj-e-commerce-engine-101</t>
        </is>
      </c>
      <c r="D167" s="14" t="inlineStr">
        <is>
          <t>E-Commerce Engine</t>
        </is>
      </c>
      <c r="E167" s="13" t="inlineStr">
        <is>
          <t>asia-east1</t>
        </is>
      </c>
      <c r="F167" s="14" t="inlineStr">
        <is>
          <t>Google Kubernetes Engine</t>
        </is>
      </c>
      <c r="G167" s="14" t="inlineStr">
        <is>
          <t>Autopilot Pod Compute</t>
        </is>
      </c>
      <c r="H167" s="15" t="n">
        <v>8099.76</v>
      </c>
      <c r="I167" s="13" t="inlineStr">
        <is>
          <t>Active</t>
        </is>
      </c>
    </row>
    <row r="168">
      <c r="A168" s="13" t="inlineStr">
        <is>
          <t>TXN-1202</t>
        </is>
      </c>
      <c r="B168" s="13" t="inlineStr">
        <is>
          <t>2026-09-12</t>
        </is>
      </c>
      <c r="C168" s="13" t="inlineStr">
        <is>
          <t>prj-hardware-and-iot-103</t>
        </is>
      </c>
      <c r="D168" s="14" t="inlineStr">
        <is>
          <t>Hardware &amp; IoT</t>
        </is>
      </c>
      <c r="E168" s="13" t="inlineStr">
        <is>
          <t>southamerica-east1</t>
        </is>
      </c>
      <c r="F168" s="14" t="inlineStr">
        <is>
          <t>Cloud SQL</t>
        </is>
      </c>
      <c r="G168" s="14" t="inlineStr">
        <is>
          <t>PostgreSQL High Availability</t>
        </is>
      </c>
      <c r="H168" s="15" t="n">
        <v>2879.21</v>
      </c>
      <c r="I168" s="13" t="inlineStr">
        <is>
          <t>Active</t>
        </is>
      </c>
    </row>
    <row r="169">
      <c r="A169" s="13" t="inlineStr">
        <is>
          <t>TXN-1290</t>
        </is>
      </c>
      <c r="B169" s="13" t="inlineStr">
        <is>
          <t>2026-09-30</t>
        </is>
      </c>
      <c r="C169" s="13" t="inlineStr">
        <is>
          <t>prj-enterprise-saas-104</t>
        </is>
      </c>
      <c r="D169" s="14" t="inlineStr">
        <is>
          <t>Enterprise SaaS</t>
        </is>
      </c>
      <c r="E169" s="13" t="inlineStr">
        <is>
          <t>us-east4</t>
        </is>
      </c>
      <c r="F169" s="14" t="inlineStr">
        <is>
          <t>Compute Engine</t>
        </is>
      </c>
      <c r="G169" s="14" t="inlineStr">
        <is>
          <t>N2 Standard 8 vCPU</t>
        </is>
      </c>
      <c r="H169" s="15" t="n">
        <v>5508.03</v>
      </c>
      <c r="I169" s="13" t="inlineStr">
        <is>
          <t>Active</t>
        </is>
      </c>
    </row>
    <row r="170">
      <c r="A170" s="13" t="inlineStr">
        <is>
          <t>TXN-1388</t>
        </is>
      </c>
      <c r="B170" s="13" t="inlineStr">
        <is>
          <t>2026-09-06</t>
        </is>
      </c>
      <c r="C170" s="13" t="inlineStr">
        <is>
          <t>prj-pro-services-104</t>
        </is>
      </c>
      <c r="D170" s="14" t="inlineStr">
        <is>
          <t>Pro Services</t>
        </is>
      </c>
      <c r="E170" s="13" t="inlineStr">
        <is>
          <t>europe-west1</t>
        </is>
      </c>
      <c r="F170" s="14" t="inlineStr">
        <is>
          <t>Compute Engine</t>
        </is>
      </c>
      <c r="G170" s="14" t="inlineStr">
        <is>
          <t>N2 Standard 8 vCPU</t>
        </is>
      </c>
      <c r="H170" s="15" t="n">
        <v>6651.84</v>
      </c>
      <c r="I170" s="13" t="inlineStr">
        <is>
          <t>Active</t>
        </is>
      </c>
    </row>
    <row r="171">
      <c r="A171" s="13" t="inlineStr">
        <is>
          <t>TXN-1387</t>
        </is>
      </c>
      <c r="B171" s="13" t="inlineStr">
        <is>
          <t>2026-09-03</t>
        </is>
      </c>
      <c r="C171" s="13" t="inlineStr">
        <is>
          <t>prj-e-commerce-engine-101</t>
        </is>
      </c>
      <c r="D171" s="14" t="inlineStr">
        <is>
          <t>E-Commerce Engine</t>
        </is>
      </c>
      <c r="E171" s="13" t="inlineStr">
        <is>
          <t>europe-west1</t>
        </is>
      </c>
      <c r="F171" s="14" t="inlineStr">
        <is>
          <t>Google Kubernetes Engine</t>
        </is>
      </c>
      <c r="G171" s="14" t="inlineStr">
        <is>
          <t>Autopilot Pod Compute</t>
        </is>
      </c>
      <c r="H171" s="15" t="n">
        <v>10479.38</v>
      </c>
      <c r="I171" s="13" t="inlineStr">
        <is>
          <t>Active</t>
        </is>
      </c>
    </row>
    <row r="172">
      <c r="A172" s="13" t="inlineStr">
        <is>
          <t>TXN-1052</t>
        </is>
      </c>
      <c r="B172" s="13" t="inlineStr">
        <is>
          <t>2026-09-20</t>
        </is>
      </c>
      <c r="C172" s="13" t="inlineStr">
        <is>
          <t>prj-enterprise-saas-104</t>
        </is>
      </c>
      <c r="D172" s="14" t="inlineStr">
        <is>
          <t>Enterprise SaaS</t>
        </is>
      </c>
      <c r="E172" s="13" t="inlineStr">
        <is>
          <t>southamerica-east1</t>
        </is>
      </c>
      <c r="F172" s="14" t="inlineStr">
        <is>
          <t>Compute Engine</t>
        </is>
      </c>
      <c r="G172" s="14" t="inlineStr">
        <is>
          <t>N2 Standard 8 vCPU</t>
        </is>
      </c>
      <c r="H172" s="15" t="n">
        <v>6129.49</v>
      </c>
      <c r="I172" s="13" t="inlineStr">
        <is>
          <t>Active</t>
        </is>
      </c>
    </row>
    <row r="173">
      <c r="A173" s="13" t="inlineStr">
        <is>
          <t>TXN-1261</t>
        </is>
      </c>
      <c r="B173" s="13" t="inlineStr">
        <is>
          <t>2026-09-25</t>
        </is>
      </c>
      <c r="C173" s="13" t="inlineStr">
        <is>
          <t>prj-e-commerce-engine-105</t>
        </is>
      </c>
      <c r="D173" s="14" t="inlineStr">
        <is>
          <t>E-Commerce Engine</t>
        </is>
      </c>
      <c r="E173" s="13" t="inlineStr">
        <is>
          <t>us-east4</t>
        </is>
      </c>
      <c r="F173" s="14" t="inlineStr">
        <is>
          <t>Google Kubernetes Engine</t>
        </is>
      </c>
      <c r="G173" s="14" t="inlineStr">
        <is>
          <t>Autopilot Pod Compute</t>
        </is>
      </c>
      <c r="H173" s="15" t="n">
        <v>6939.25</v>
      </c>
      <c r="I173" s="13" t="inlineStr">
        <is>
          <t>Active</t>
        </is>
      </c>
    </row>
    <row r="174">
      <c r="A174" s="13" t="inlineStr">
        <is>
          <t>TXN-1255</t>
        </is>
      </c>
      <c r="B174" s="13" t="inlineStr">
        <is>
          <t>2026-09-28</t>
        </is>
      </c>
      <c r="C174" s="13" t="inlineStr">
        <is>
          <t>prj-enterprise-saas-105</t>
        </is>
      </c>
      <c r="D174" s="14" t="inlineStr">
        <is>
          <t>Enterprise SaaS</t>
        </is>
      </c>
      <c r="E174" s="13" t="inlineStr">
        <is>
          <t>europe-west1</t>
        </is>
      </c>
      <c r="F174" s="14" t="inlineStr">
        <is>
          <t>Cloud SQL</t>
        </is>
      </c>
      <c r="G174" s="14" t="inlineStr">
        <is>
          <t>PostgreSQL High Availability</t>
        </is>
      </c>
      <c r="H174" s="15" t="n">
        <v>3901.57</v>
      </c>
      <c r="I174" s="13" t="inlineStr">
        <is>
          <t>Active</t>
        </is>
      </c>
    </row>
    <row r="175">
      <c r="A175" s="13" t="inlineStr">
        <is>
          <t>TXN-1171</t>
        </is>
      </c>
      <c r="B175" s="13" t="inlineStr">
        <is>
          <t>2026-09-10</t>
        </is>
      </c>
      <c r="C175" s="13" t="inlineStr">
        <is>
          <t>prj-hardware-and-iot-104</t>
        </is>
      </c>
      <c r="D175" s="14" t="inlineStr">
        <is>
          <t>Hardware &amp; IoT</t>
        </is>
      </c>
      <c r="E175" s="13" t="inlineStr">
        <is>
          <t>southamerica-east1</t>
        </is>
      </c>
      <c r="F175" s="14" t="inlineStr">
        <is>
          <t>Google Kubernetes Engine</t>
        </is>
      </c>
      <c r="G175" s="14" t="inlineStr">
        <is>
          <t>Autopilot Pod Compute</t>
        </is>
      </c>
      <c r="H175" s="15" t="n">
        <v>10191.56</v>
      </c>
      <c r="I175" s="13" t="inlineStr">
        <is>
          <t>Active</t>
        </is>
      </c>
    </row>
    <row r="176">
      <c r="A176" s="13" t="inlineStr">
        <is>
          <t>TXN-1182</t>
        </is>
      </c>
      <c r="B176" s="13" t="inlineStr">
        <is>
          <t>2026-09-24</t>
        </is>
      </c>
      <c r="C176" s="13" t="inlineStr">
        <is>
          <t>prj-enterprise-saas-101</t>
        </is>
      </c>
      <c r="D176" s="14" t="inlineStr">
        <is>
          <t>Enterprise SaaS</t>
        </is>
      </c>
      <c r="E176" s="13" t="inlineStr">
        <is>
          <t>us-east4</t>
        </is>
      </c>
      <c r="F176" s="14" t="inlineStr">
        <is>
          <t>Compute Engine</t>
        </is>
      </c>
      <c r="G176" s="14" t="inlineStr">
        <is>
          <t>N2 Standard 8 vCPU</t>
        </is>
      </c>
      <c r="H176" s="15" t="n">
        <v>5274.71</v>
      </c>
      <c r="I176" s="13" t="inlineStr">
        <is>
          <t>Active</t>
        </is>
      </c>
    </row>
    <row r="177">
      <c r="A177" s="13" t="inlineStr">
        <is>
          <t>TXN-1407</t>
        </is>
      </c>
      <c r="B177" s="13" t="inlineStr">
        <is>
          <t>2026-09-29</t>
        </is>
      </c>
      <c r="C177" s="13" t="inlineStr">
        <is>
          <t>prj-e-commerce-engine-104</t>
        </is>
      </c>
      <c r="D177" s="14" t="inlineStr">
        <is>
          <t>E-Commerce Engine</t>
        </is>
      </c>
      <c r="E177" s="13" t="inlineStr">
        <is>
          <t>us-east4</t>
        </is>
      </c>
      <c r="F177" s="14" t="inlineStr">
        <is>
          <t>Compute Engine</t>
        </is>
      </c>
      <c r="G177" s="14" t="inlineStr">
        <is>
          <t>N2 Standard 8 vCPU</t>
        </is>
      </c>
      <c r="H177" s="15" t="n">
        <v>4027.78</v>
      </c>
      <c r="I177" s="13" t="inlineStr">
        <is>
          <t>Active</t>
        </is>
      </c>
    </row>
    <row r="178">
      <c r="A178" s="13" t="inlineStr">
        <is>
          <t>TXN-1248</t>
        </is>
      </c>
      <c r="B178" s="13" t="inlineStr">
        <is>
          <t>2026-09-07</t>
        </is>
      </c>
      <c r="C178" s="13" t="inlineStr">
        <is>
          <t>prj-global-logistics-103</t>
        </is>
      </c>
      <c r="D178" s="14" t="inlineStr">
        <is>
          <t>Global Logistics</t>
        </is>
      </c>
      <c r="E178" s="13" t="inlineStr">
        <is>
          <t>asia-east1</t>
        </is>
      </c>
      <c r="F178" s="14" t="inlineStr">
        <is>
          <t>BigQuery</t>
        </is>
      </c>
      <c r="G178" s="14" t="inlineStr">
        <is>
          <t>Analysis Slot Usage</t>
        </is>
      </c>
      <c r="H178" s="15" t="n">
        <v>4659.91</v>
      </c>
      <c r="I178" s="13" t="inlineStr">
        <is>
          <t>Active</t>
        </is>
      </c>
    </row>
    <row r="179">
      <c r="A179" s="13" t="inlineStr">
        <is>
          <t>TXN-1009</t>
        </is>
      </c>
      <c r="B179" s="13" t="inlineStr">
        <is>
          <t>2026-09-21</t>
        </is>
      </c>
      <c r="C179" s="13" t="inlineStr">
        <is>
          <t>prj-e-commerce-engine-102</t>
        </is>
      </c>
      <c r="D179" s="14" t="inlineStr">
        <is>
          <t>E-Commerce Engine</t>
        </is>
      </c>
      <c r="E179" s="13" t="inlineStr">
        <is>
          <t>asia-east1</t>
        </is>
      </c>
      <c r="F179" s="14" t="inlineStr">
        <is>
          <t>Google Kubernetes Engine</t>
        </is>
      </c>
      <c r="G179" s="14" t="inlineStr">
        <is>
          <t>Autopilot Pod Compute</t>
        </is>
      </c>
      <c r="H179" s="15" t="n">
        <v>9227.43</v>
      </c>
      <c r="I179" s="13" t="inlineStr">
        <is>
          <t>Active</t>
        </is>
      </c>
    </row>
    <row r="180">
      <c r="A180" s="13" t="inlineStr">
        <is>
          <t>TXN-1431</t>
        </is>
      </c>
      <c r="B180" s="13" t="inlineStr">
        <is>
          <t>2026-09-14</t>
        </is>
      </c>
      <c r="C180" s="13" t="inlineStr">
        <is>
          <t>prj-e-commerce-engine-104</t>
        </is>
      </c>
      <c r="D180" s="14" t="inlineStr">
        <is>
          <t>E-Commerce Engine</t>
        </is>
      </c>
      <c r="E180" s="13" t="inlineStr">
        <is>
          <t>southamerica-east1</t>
        </is>
      </c>
      <c r="F180" s="14" t="inlineStr">
        <is>
          <t>Cloud Storage</t>
        </is>
      </c>
      <c r="G180" s="14" t="inlineStr">
        <is>
          <t>Standard Storage GB</t>
        </is>
      </c>
      <c r="H180" s="15" t="n">
        <v>1831.43</v>
      </c>
      <c r="I180" s="13" t="inlineStr">
        <is>
          <t>Active</t>
        </is>
      </c>
    </row>
    <row r="181">
      <c r="A181" s="13" t="inlineStr">
        <is>
          <t>TXN-1291</t>
        </is>
      </c>
      <c r="B181" s="13" t="inlineStr">
        <is>
          <t>2026-09-08</t>
        </is>
      </c>
      <c r="C181" s="13" t="inlineStr">
        <is>
          <t>prj-pro-services-102</t>
        </is>
      </c>
      <c r="D181" s="14" t="inlineStr">
        <is>
          <t>Pro Services</t>
        </is>
      </c>
      <c r="E181" s="13" t="inlineStr">
        <is>
          <t>us-central1</t>
        </is>
      </c>
      <c r="F181" s="14" t="inlineStr">
        <is>
          <t>BigQuery</t>
        </is>
      </c>
      <c r="G181" s="14" t="inlineStr">
        <is>
          <t>Analysis Slot Usage</t>
        </is>
      </c>
      <c r="H181" s="15" t="n">
        <v>4155.03</v>
      </c>
      <c r="I181" s="13" t="inlineStr">
        <is>
          <t>Active</t>
        </is>
      </c>
    </row>
    <row r="182">
      <c r="A182" s="13" t="inlineStr">
        <is>
          <t>TXN-1039</t>
        </is>
      </c>
      <c r="B182" s="13" t="inlineStr">
        <is>
          <t>2026-09-12</t>
        </is>
      </c>
      <c r="C182" s="13" t="inlineStr">
        <is>
          <t>prj-pro-services-101</t>
        </is>
      </c>
      <c r="D182" s="14" t="inlineStr">
        <is>
          <t>Pro Services</t>
        </is>
      </c>
      <c r="E182" s="13" t="inlineStr">
        <is>
          <t>us-east4</t>
        </is>
      </c>
      <c r="F182" s="14" t="inlineStr">
        <is>
          <t>Cloud SQL</t>
        </is>
      </c>
      <c r="G182" s="14" t="inlineStr">
        <is>
          <t>PostgreSQL High Availability</t>
        </is>
      </c>
      <c r="H182" s="15" t="n">
        <v>4856.78</v>
      </c>
      <c r="I182" s="13" t="inlineStr">
        <is>
          <t>Active</t>
        </is>
      </c>
    </row>
    <row r="183">
      <c r="A183" s="13" t="inlineStr">
        <is>
          <t>TXN-1098</t>
        </is>
      </c>
      <c r="B183" s="13" t="inlineStr">
        <is>
          <t>2026-09-23</t>
        </is>
      </c>
      <c r="C183" s="13" t="inlineStr">
        <is>
          <t>prj-hardware-and-iot-103</t>
        </is>
      </c>
      <c r="D183" s="14" t="inlineStr">
        <is>
          <t>Hardware &amp; IoT</t>
        </is>
      </c>
      <c r="E183" s="13" t="inlineStr">
        <is>
          <t>europe-west1</t>
        </is>
      </c>
      <c r="F183" s="14" t="inlineStr">
        <is>
          <t>BigQuery</t>
        </is>
      </c>
      <c r="G183" s="14" t="inlineStr">
        <is>
          <t>Analysis Slot Usage</t>
        </is>
      </c>
      <c r="H183" s="15" t="n">
        <v>5758.4</v>
      </c>
      <c r="I183" s="13" t="inlineStr">
        <is>
          <t>Active</t>
        </is>
      </c>
    </row>
    <row r="184">
      <c r="A184" s="13" t="inlineStr">
        <is>
          <t>TXN-1356</t>
        </is>
      </c>
      <c r="B184" s="13" t="inlineStr">
        <is>
          <t>2026-09-12</t>
        </is>
      </c>
      <c r="C184" s="13" t="inlineStr">
        <is>
          <t>prj-enterprise-saas-105</t>
        </is>
      </c>
      <c r="D184" s="14" t="inlineStr"/>
      <c r="E184" s="13" t="inlineStr">
        <is>
          <t>us-east4</t>
        </is>
      </c>
      <c r="F184" s="14" t="inlineStr">
        <is>
          <t>Compute Engine</t>
        </is>
      </c>
      <c r="G184" s="14" t="inlineStr">
        <is>
          <t>Promotional Credit / Outage SLA Refund</t>
        </is>
      </c>
      <c r="H184" s="15" t="n">
        <v>-1285.8</v>
      </c>
      <c r="I184" s="13" t="inlineStr">
        <is>
          <t>Active</t>
        </is>
      </c>
    </row>
    <row r="185">
      <c r="A185" s="13" t="inlineStr">
        <is>
          <t>TXN-1396</t>
        </is>
      </c>
      <c r="B185" s="13" t="inlineStr">
        <is>
          <t>2026-09-08</t>
        </is>
      </c>
      <c r="C185" s="13" t="inlineStr">
        <is>
          <t>prj-enterprise-saas-102</t>
        </is>
      </c>
      <c r="D185" s="14" t="inlineStr">
        <is>
          <t>Enterprise SaaS</t>
        </is>
      </c>
      <c r="E185" s="13" t="inlineStr">
        <is>
          <t>asia-east1</t>
        </is>
      </c>
      <c r="F185" s="14" t="inlineStr">
        <is>
          <t>Cloud SQL</t>
        </is>
      </c>
      <c r="G185" s="14" t="inlineStr">
        <is>
          <t>PostgreSQL High Availability</t>
        </is>
      </c>
      <c r="H185" s="15" t="n">
        <v>4063.57</v>
      </c>
      <c r="I185" s="13" t="inlineStr">
        <is>
          <t>Active</t>
        </is>
      </c>
    </row>
    <row r="186">
      <c r="A186" s="13" t="inlineStr">
        <is>
          <t>TXN-9903</t>
        </is>
      </c>
      <c r="B186" s="13" t="inlineStr">
        <is>
          <t>2026-09-19</t>
        </is>
      </c>
      <c r="C186" s="13" t="inlineStr">
        <is>
          <t>prj-global-logistics-102</t>
        </is>
      </c>
      <c r="D186" s="14" t="inlineStr">
        <is>
          <t>Global Logistics</t>
        </is>
      </c>
      <c r="E186" s="13" t="inlineStr">
        <is>
          <t>europe-west1</t>
        </is>
      </c>
      <c r="F186" s="14" t="inlineStr">
        <is>
          <t>Google Kubernetes Engine</t>
        </is>
      </c>
      <c r="G186" s="14" t="inlineStr">
        <is>
          <t>Egress Data Loop Anomaly</t>
        </is>
      </c>
      <c r="H186" s="15" t="n">
        <v>54200</v>
      </c>
      <c r="I186" s="13" t="inlineStr">
        <is>
          <t>Active</t>
        </is>
      </c>
    </row>
    <row r="187">
      <c r="A187" s="13" t="inlineStr">
        <is>
          <t>TXN-1043</t>
        </is>
      </c>
      <c r="B187" s="13" t="inlineStr">
        <is>
          <t>2026-09-03</t>
        </is>
      </c>
      <c r="C187" s="13" t="inlineStr">
        <is>
          <t>prj-pro-services-101</t>
        </is>
      </c>
      <c r="D187" s="14" t="inlineStr">
        <is>
          <t>Pro Services</t>
        </is>
      </c>
      <c r="E187" s="13" t="inlineStr">
        <is>
          <t>southamerica-east1</t>
        </is>
      </c>
      <c r="F187" s="14" t="inlineStr">
        <is>
          <t>Compute Engine</t>
        </is>
      </c>
      <c r="G187" s="14" t="inlineStr">
        <is>
          <t>N2 Standard 8 vCPU</t>
        </is>
      </c>
      <c r="H187" s="15" t="n">
        <v>6108.58</v>
      </c>
      <c r="I187" s="13" t="inlineStr">
        <is>
          <t>Active</t>
        </is>
      </c>
    </row>
    <row r="188">
      <c r="A188" s="13" t="inlineStr">
        <is>
          <t>TXN-1384</t>
        </is>
      </c>
      <c r="B188" s="13" t="inlineStr">
        <is>
          <t>2026-09-11</t>
        </is>
      </c>
      <c r="C188" s="13" t="inlineStr">
        <is>
          <t>prj-pro-services-101</t>
        </is>
      </c>
      <c r="D188" s="14" t="inlineStr">
        <is>
          <t>Pro Services</t>
        </is>
      </c>
      <c r="E188" s="13" t="inlineStr">
        <is>
          <t>us-central1</t>
        </is>
      </c>
      <c r="F188" s="14" t="inlineStr">
        <is>
          <t>Cloud Storage</t>
        </is>
      </c>
      <c r="G188" s="14" t="inlineStr">
        <is>
          <t>Standard Storage GB</t>
        </is>
      </c>
      <c r="H188" s="15" t="n">
        <v>3707.75</v>
      </c>
      <c r="I188" s="13" t="inlineStr">
        <is>
          <t>Active</t>
        </is>
      </c>
    </row>
    <row r="189">
      <c r="A189" s="13" t="inlineStr">
        <is>
          <t>TXN-1191</t>
        </is>
      </c>
      <c r="B189" s="13" t="inlineStr">
        <is>
          <t>2026-09-19</t>
        </is>
      </c>
      <c r="C189" s="13" t="inlineStr">
        <is>
          <t>prj-hardware-and-iot-103</t>
        </is>
      </c>
      <c r="D189" s="14" t="inlineStr">
        <is>
          <t>Hardware &amp; IoT</t>
        </is>
      </c>
      <c r="E189" s="13" t="inlineStr">
        <is>
          <t>southamerica-east1</t>
        </is>
      </c>
      <c r="F189" s="14" t="inlineStr">
        <is>
          <t>BigQuery</t>
        </is>
      </c>
      <c r="G189" s="14" t="inlineStr">
        <is>
          <t>Analysis Slot Usage</t>
        </is>
      </c>
      <c r="H189" s="15" t="n">
        <v>4120.67</v>
      </c>
      <c r="I189" s="13" t="inlineStr">
        <is>
          <t>Active</t>
        </is>
      </c>
    </row>
    <row r="190">
      <c r="A190" s="13" t="inlineStr">
        <is>
          <t>TXN-1369</t>
        </is>
      </c>
      <c r="B190" s="13" t="inlineStr">
        <is>
          <t>2026-09-06</t>
        </is>
      </c>
      <c r="C190" s="13" t="inlineStr">
        <is>
          <t>prj-e-commerce-engine-102</t>
        </is>
      </c>
      <c r="D190" s="14" t="inlineStr">
        <is>
          <t>E-Commerce Engine</t>
        </is>
      </c>
      <c r="E190" s="13" t="inlineStr">
        <is>
          <t>southamerica-east1</t>
        </is>
      </c>
      <c r="F190" s="14" t="inlineStr">
        <is>
          <t>Cloud SQL</t>
        </is>
      </c>
      <c r="G190" s="14" t="inlineStr">
        <is>
          <t>PostgreSQL High Availability</t>
        </is>
      </c>
      <c r="H190" s="15" t="n">
        <v>5375.81</v>
      </c>
      <c r="I190" s="13" t="inlineStr">
        <is>
          <t>Active</t>
        </is>
      </c>
    </row>
    <row r="191">
      <c r="A191" s="13" t="inlineStr">
        <is>
          <t>TXN-1378</t>
        </is>
      </c>
      <c r="B191" s="13" t="inlineStr">
        <is>
          <t>2026-09-30</t>
        </is>
      </c>
      <c r="C191" s="13" t="inlineStr">
        <is>
          <t>prj-hardware-and-iot-105</t>
        </is>
      </c>
      <c r="D191" s="14" t="inlineStr">
        <is>
          <t>Hardware &amp; IoT</t>
        </is>
      </c>
      <c r="E191" s="13" t="inlineStr">
        <is>
          <t>asia-east1</t>
        </is>
      </c>
      <c r="F191" s="14" t="inlineStr">
        <is>
          <t>Compute Engine</t>
        </is>
      </c>
      <c r="G191" s="14" t="inlineStr">
        <is>
          <t>N2 Standard 8 vCPU</t>
        </is>
      </c>
      <c r="H191" s="15" t="n">
        <v>6206.49</v>
      </c>
      <c r="I191" s="13" t="inlineStr">
        <is>
          <t>Active</t>
        </is>
      </c>
    </row>
    <row r="192">
      <c r="A192" s="13" t="inlineStr">
        <is>
          <t>TXN-1196</t>
        </is>
      </c>
      <c r="B192" s="13" t="inlineStr">
        <is>
          <t>2026-09-02</t>
        </is>
      </c>
      <c r="C192" s="13" t="inlineStr">
        <is>
          <t>prj-e-commerce-engine-101</t>
        </is>
      </c>
      <c r="D192" s="14" t="inlineStr">
        <is>
          <t>E-Commerce Engine</t>
        </is>
      </c>
      <c r="E192" s="13" t="inlineStr">
        <is>
          <t>asia-east1</t>
        </is>
      </c>
      <c r="F192" s="14" t="inlineStr">
        <is>
          <t>Cloud Storage</t>
        </is>
      </c>
      <c r="G192" s="14" t="inlineStr">
        <is>
          <t>Standard Storage GB</t>
        </is>
      </c>
      <c r="H192" s="15" t="n">
        <v>3565.03</v>
      </c>
      <c r="I192" s="13" t="inlineStr">
        <is>
          <t>Active</t>
        </is>
      </c>
    </row>
    <row r="193">
      <c r="A193" s="13" t="inlineStr">
        <is>
          <t>TXN-1436</t>
        </is>
      </c>
      <c r="B193" s="13" t="inlineStr">
        <is>
          <t>2026-09-30</t>
        </is>
      </c>
      <c r="C193" s="13" t="inlineStr">
        <is>
          <t>prj-enterprise-saas-101</t>
        </is>
      </c>
      <c r="D193" s="14" t="inlineStr">
        <is>
          <t>Enterprise SaaS</t>
        </is>
      </c>
      <c r="E193" s="13" t="inlineStr">
        <is>
          <t>europe-west1</t>
        </is>
      </c>
      <c r="F193" s="14" t="inlineStr">
        <is>
          <t>Cloud Storage</t>
        </is>
      </c>
      <c r="G193" s="14" t="inlineStr">
        <is>
          <t>Standard Storage GB</t>
        </is>
      </c>
      <c r="H193" s="15" t="n">
        <v>3141.89</v>
      </c>
      <c r="I193" s="13" t="inlineStr">
        <is>
          <t>Active</t>
        </is>
      </c>
    </row>
    <row r="194">
      <c r="A194" s="13" t="inlineStr">
        <is>
          <t>TXN-1279</t>
        </is>
      </c>
      <c r="B194" s="13" t="inlineStr">
        <is>
          <t>2026-09-10</t>
        </is>
      </c>
      <c r="C194" s="13" t="inlineStr">
        <is>
          <t>prj-enterprise-saas-105</t>
        </is>
      </c>
      <c r="D194" s="14" t="inlineStr">
        <is>
          <t>Enterprise SaaS</t>
        </is>
      </c>
      <c r="E194" s="13" t="inlineStr">
        <is>
          <t>southamerica-east1</t>
        </is>
      </c>
      <c r="F194" s="14" t="inlineStr">
        <is>
          <t>Google Kubernetes Engine</t>
        </is>
      </c>
      <c r="G194" s="14" t="inlineStr">
        <is>
          <t>Autopilot Pod Compute</t>
        </is>
      </c>
      <c r="H194" s="15" t="n">
        <v>5226.48</v>
      </c>
      <c r="I194" s="13" t="inlineStr">
        <is>
          <t>Active</t>
        </is>
      </c>
    </row>
    <row r="195">
      <c r="A195" s="13" t="inlineStr">
        <is>
          <t>TXN-1266</t>
        </is>
      </c>
      <c r="B195" s="13" t="inlineStr">
        <is>
          <t>2026-09-13</t>
        </is>
      </c>
      <c r="C195" s="13" t="inlineStr">
        <is>
          <t>prj-pro-services-101</t>
        </is>
      </c>
      <c r="D195" s="14" t="inlineStr">
        <is>
          <t>Pro Services</t>
        </is>
      </c>
      <c r="E195" s="13" t="inlineStr">
        <is>
          <t>southamerica-east1</t>
        </is>
      </c>
      <c r="F195" s="14" t="inlineStr">
        <is>
          <t>Google Kubernetes Engine</t>
        </is>
      </c>
      <c r="G195" s="14" t="inlineStr">
        <is>
          <t>Autopilot Pod Compute</t>
        </is>
      </c>
      <c r="H195" s="15" t="n">
        <v>7698.4</v>
      </c>
      <c r="I195" s="13" t="inlineStr">
        <is>
          <t>Active</t>
        </is>
      </c>
    </row>
    <row r="196">
      <c r="A196" s="13" t="inlineStr">
        <is>
          <t>TXN-1271</t>
        </is>
      </c>
      <c r="B196" s="13" t="inlineStr">
        <is>
          <t>2026-09-30</t>
        </is>
      </c>
      <c r="C196" s="13" t="inlineStr">
        <is>
          <t>prj-hardware-and-iot-103</t>
        </is>
      </c>
      <c r="D196" s="14" t="inlineStr">
        <is>
          <t>Hardware &amp; IoT</t>
        </is>
      </c>
      <c r="E196" s="13" t="inlineStr">
        <is>
          <t>us-east4</t>
        </is>
      </c>
      <c r="F196" s="14" t="inlineStr">
        <is>
          <t>Cloud SQL</t>
        </is>
      </c>
      <c r="G196" s="14" t="inlineStr">
        <is>
          <t>PostgreSQL High Availability</t>
        </is>
      </c>
      <c r="H196" s="15" t="n">
        <v>4876.14</v>
      </c>
      <c r="I196" s="13" t="inlineStr">
        <is>
          <t>Active</t>
        </is>
      </c>
    </row>
    <row r="197">
      <c r="A197" s="13" t="inlineStr">
        <is>
          <t>TXN-1016</t>
        </is>
      </c>
      <c r="B197" s="13" t="inlineStr">
        <is>
          <t>2026-09-19</t>
        </is>
      </c>
      <c r="C197" s="13" t="inlineStr">
        <is>
          <t>prj-hardware-and-iot-104</t>
        </is>
      </c>
      <c r="D197" s="14" t="inlineStr">
        <is>
          <t>Hardware &amp; IoT</t>
        </is>
      </c>
      <c r="E197" s="13" t="inlineStr">
        <is>
          <t>europe-west1</t>
        </is>
      </c>
      <c r="F197" s="14" t="inlineStr">
        <is>
          <t>Cloud SQL</t>
        </is>
      </c>
      <c r="G197" s="14" t="inlineStr">
        <is>
          <t>PostgreSQL High Availability</t>
        </is>
      </c>
      <c r="H197" s="15" t="n">
        <v>5596.39</v>
      </c>
      <c r="I197" s="13" t="inlineStr">
        <is>
          <t>Active</t>
        </is>
      </c>
    </row>
    <row r="198">
      <c r="A198" s="13" t="inlineStr">
        <is>
          <t>TXN-1386</t>
        </is>
      </c>
      <c r="B198" s="13" t="inlineStr">
        <is>
          <t>2026-09-25</t>
        </is>
      </c>
      <c r="C198" s="13" t="inlineStr">
        <is>
          <t>prj-hardware-and-iot-101</t>
        </is>
      </c>
      <c r="D198" s="14" t="inlineStr">
        <is>
          <t>Hardware &amp; IoT</t>
        </is>
      </c>
      <c r="E198" s="13" t="inlineStr">
        <is>
          <t>asia-east1</t>
        </is>
      </c>
      <c r="F198" s="14" t="inlineStr">
        <is>
          <t>BigQuery</t>
        </is>
      </c>
      <c r="G198" s="14" t="inlineStr">
        <is>
          <t>Analysis Slot Usage</t>
        </is>
      </c>
      <c r="H198" s="15" t="n">
        <v>8993.65</v>
      </c>
      <c r="I198" s="13" t="inlineStr">
        <is>
          <t>Active</t>
        </is>
      </c>
    </row>
    <row r="199">
      <c r="A199" s="13" t="inlineStr">
        <is>
          <t>TXN-1365</t>
        </is>
      </c>
      <c r="B199" s="13" t="inlineStr">
        <is>
          <t>2026-09-18</t>
        </is>
      </c>
      <c r="C199" s="13" t="inlineStr">
        <is>
          <t>prj-pro-services-104</t>
        </is>
      </c>
      <c r="D199" s="14" t="inlineStr">
        <is>
          <t>Pro Services</t>
        </is>
      </c>
      <c r="E199" s="13" t="inlineStr">
        <is>
          <t>southamerica-east1</t>
        </is>
      </c>
      <c r="F199" s="14" t="inlineStr">
        <is>
          <t>BigQuery</t>
        </is>
      </c>
      <c r="G199" s="14" t="inlineStr">
        <is>
          <t>Analysis Slot Usage</t>
        </is>
      </c>
      <c r="H199" s="15" t="n">
        <v>8486.620000000001</v>
      </c>
      <c r="I199" s="13" t="inlineStr">
        <is>
          <t>Active</t>
        </is>
      </c>
    </row>
    <row r="200">
      <c r="A200" s="13" t="inlineStr">
        <is>
          <t>TXN-1366</t>
        </is>
      </c>
      <c r="B200" s="13" t="inlineStr">
        <is>
          <t>2026-09-12</t>
        </is>
      </c>
      <c r="C200" s="13" t="inlineStr">
        <is>
          <t>prj-hardware-and-iot-105</t>
        </is>
      </c>
      <c r="D200" s="14" t="inlineStr">
        <is>
          <t>Hardware &amp; IoT</t>
        </is>
      </c>
      <c r="E200" s="13" t="inlineStr">
        <is>
          <t>us-central1</t>
        </is>
      </c>
      <c r="F200" s="14" t="inlineStr">
        <is>
          <t>Cloud SQL</t>
        </is>
      </c>
      <c r="G200" s="14" t="inlineStr">
        <is>
          <t>PostgreSQL High Availability</t>
        </is>
      </c>
      <c r="H200" s="15" t="n">
        <v>3576.87</v>
      </c>
      <c r="I200" s="13" t="inlineStr">
        <is>
          <t>Active</t>
        </is>
      </c>
    </row>
    <row r="201">
      <c r="A201" s="13" t="inlineStr">
        <is>
          <t>TXN-1300</t>
        </is>
      </c>
      <c r="B201" s="13" t="inlineStr">
        <is>
          <t>2026-09-08</t>
        </is>
      </c>
      <c r="C201" s="13" t="inlineStr">
        <is>
          <t>prj-e-commerce-engine-101</t>
        </is>
      </c>
      <c r="D201" s="14" t="inlineStr">
        <is>
          <t>E-Commerce Engine</t>
        </is>
      </c>
      <c r="E201" s="13" t="inlineStr">
        <is>
          <t>us-east4</t>
        </is>
      </c>
      <c r="F201" s="14" t="inlineStr">
        <is>
          <t>Cloud Storage</t>
        </is>
      </c>
      <c r="G201" s="14" t="inlineStr">
        <is>
          <t>Standard Storage GB</t>
        </is>
      </c>
      <c r="H201" s="15" t="n">
        <v>2561.06</v>
      </c>
      <c r="I201" s="13" t="inlineStr">
        <is>
          <t>Active</t>
        </is>
      </c>
    </row>
    <row r="202">
      <c r="A202" s="13" t="inlineStr">
        <is>
          <t>TXN-1071</t>
        </is>
      </c>
      <c r="B202" s="13" t="inlineStr">
        <is>
          <t>2026-09-23</t>
        </is>
      </c>
      <c r="C202" s="13" t="inlineStr">
        <is>
          <t>prj-enterprise-saas-104</t>
        </is>
      </c>
      <c r="D202" s="14" t="inlineStr">
        <is>
          <t>Enterprise SaaS</t>
        </is>
      </c>
      <c r="E202" s="13" t="inlineStr">
        <is>
          <t>us-east4</t>
        </is>
      </c>
      <c r="F202" s="14" t="inlineStr">
        <is>
          <t>Compute Engine</t>
        </is>
      </c>
      <c r="G202" s="14" t="inlineStr">
        <is>
          <t>N2 Standard 8 vCPU</t>
        </is>
      </c>
      <c r="H202" s="15" t="n">
        <v>4389.73</v>
      </c>
      <c r="I202" s="13" t="inlineStr">
        <is>
          <t>Active</t>
        </is>
      </c>
    </row>
    <row r="203">
      <c r="A203" s="13" t="inlineStr">
        <is>
          <t>TXN-1024</t>
        </is>
      </c>
      <c r="B203" s="13" t="inlineStr">
        <is>
          <t>2026-09-06</t>
        </is>
      </c>
      <c r="C203" s="13" t="inlineStr">
        <is>
          <t>prj-pro-services-105</t>
        </is>
      </c>
      <c r="D203" s="14" t="inlineStr">
        <is>
          <t>Pro Services</t>
        </is>
      </c>
      <c r="E203" s="13" t="inlineStr">
        <is>
          <t>us-central1</t>
        </is>
      </c>
      <c r="F203" s="14" t="inlineStr">
        <is>
          <t>BigQuery</t>
        </is>
      </c>
      <c r="G203" s="14" t="inlineStr">
        <is>
          <t>Analysis Slot Usage</t>
        </is>
      </c>
      <c r="H203" s="15" t="n">
        <v>8190.79</v>
      </c>
      <c r="I203" s="13" t="inlineStr">
        <is>
          <t>Active</t>
        </is>
      </c>
    </row>
    <row r="204">
      <c r="A204" s="13" t="inlineStr">
        <is>
          <t>TXN-1417</t>
        </is>
      </c>
      <c r="B204" s="13" t="inlineStr">
        <is>
          <t>2026-09-24</t>
        </is>
      </c>
      <c r="C204" s="13" t="inlineStr">
        <is>
          <t>prj-e-commerce-engine-104</t>
        </is>
      </c>
      <c r="D204" s="14" t="inlineStr">
        <is>
          <t>E-Commerce Engine</t>
        </is>
      </c>
      <c r="E204" s="13" t="inlineStr">
        <is>
          <t>us-east4</t>
        </is>
      </c>
      <c r="F204" s="14" t="inlineStr">
        <is>
          <t>Google Kubernetes Engine</t>
        </is>
      </c>
      <c r="G204" s="14" t="inlineStr">
        <is>
          <t>Autopilot Pod Compute</t>
        </is>
      </c>
      <c r="H204" s="15" t="n">
        <v>9940.16</v>
      </c>
      <c r="I204" s="13" t="inlineStr">
        <is>
          <t>Active</t>
        </is>
      </c>
    </row>
    <row r="205">
      <c r="A205" s="13" t="inlineStr">
        <is>
          <t>TXN-1286</t>
        </is>
      </c>
      <c r="B205" s="13" t="inlineStr">
        <is>
          <t>2026-09-06</t>
        </is>
      </c>
      <c r="C205" s="13" t="inlineStr">
        <is>
          <t>prj-global-logistics-103</t>
        </is>
      </c>
      <c r="D205" s="14" t="inlineStr">
        <is>
          <t>Global Logistics</t>
        </is>
      </c>
      <c r="E205" s="13" t="inlineStr">
        <is>
          <t>southamerica-east1</t>
        </is>
      </c>
      <c r="F205" s="14" t="inlineStr">
        <is>
          <t>Cloud Storage</t>
        </is>
      </c>
      <c r="G205" s="14" t="inlineStr">
        <is>
          <t>Standard Storage GB</t>
        </is>
      </c>
      <c r="H205" s="15" t="n">
        <v>1335.67</v>
      </c>
      <c r="I205" s="13" t="inlineStr">
        <is>
          <t>Active</t>
        </is>
      </c>
    </row>
    <row r="206">
      <c r="A206" s="13" t="inlineStr">
        <is>
          <t>TXN-1254</t>
        </is>
      </c>
      <c r="B206" s="13" t="inlineStr">
        <is>
          <t>2026-09-11</t>
        </is>
      </c>
      <c r="C206" s="13" t="inlineStr">
        <is>
          <t>prj-global-logistics-103</t>
        </is>
      </c>
      <c r="D206" s="14" t="inlineStr">
        <is>
          <t>Global Logistics</t>
        </is>
      </c>
      <c r="E206" s="13" t="inlineStr">
        <is>
          <t>southamerica-east1</t>
        </is>
      </c>
      <c r="F206" s="14" t="inlineStr">
        <is>
          <t>Cloud SQL</t>
        </is>
      </c>
      <c r="G206" s="14" t="inlineStr">
        <is>
          <t>PostgreSQL High Availability</t>
        </is>
      </c>
      <c r="H206" s="15" t="n">
        <v>2808.45</v>
      </c>
      <c r="I206" s="13" t="inlineStr">
        <is>
          <t>Active</t>
        </is>
      </c>
    </row>
    <row r="207">
      <c r="A207" s="13" t="inlineStr">
        <is>
          <t>TXN-1147</t>
        </is>
      </c>
      <c r="B207" s="13" t="inlineStr">
        <is>
          <t>2026-09-01</t>
        </is>
      </c>
      <c r="C207" s="13" t="inlineStr">
        <is>
          <t>prj-pro-services-104</t>
        </is>
      </c>
      <c r="D207" s="14" t="inlineStr">
        <is>
          <t>Pro Services</t>
        </is>
      </c>
      <c r="E207" s="13" t="inlineStr">
        <is>
          <t>us-east4</t>
        </is>
      </c>
      <c r="F207" s="14" t="inlineStr">
        <is>
          <t>Google Kubernetes Engine</t>
        </is>
      </c>
      <c r="G207" s="14" t="inlineStr">
        <is>
          <t>Autopilot Pod Compute</t>
        </is>
      </c>
      <c r="H207" s="15" t="n">
        <v>6747.56</v>
      </c>
      <c r="I207" s="13" t="inlineStr">
        <is>
          <t>Active</t>
        </is>
      </c>
    </row>
    <row r="208">
      <c r="A208" s="13" t="inlineStr">
        <is>
          <t>TXN-1157</t>
        </is>
      </c>
      <c r="B208" s="13" t="inlineStr">
        <is>
          <t>2026-09-06</t>
        </is>
      </c>
      <c r="C208" s="13" t="inlineStr">
        <is>
          <t>prj-e-commerce-engine-101</t>
        </is>
      </c>
      <c r="D208" s="14" t="inlineStr">
        <is>
          <t>E-Commerce Engine</t>
        </is>
      </c>
      <c r="E208" s="13" t="inlineStr">
        <is>
          <t>us-east4</t>
        </is>
      </c>
      <c r="F208" s="14" t="inlineStr">
        <is>
          <t>Cloud SQL</t>
        </is>
      </c>
      <c r="G208" s="14" t="inlineStr">
        <is>
          <t>PostgreSQL High Availability</t>
        </is>
      </c>
      <c r="H208" s="15" t="n">
        <v>4145.04</v>
      </c>
      <c r="I208" s="13" t="inlineStr">
        <is>
          <t>Active</t>
        </is>
      </c>
    </row>
    <row r="209">
      <c r="A209" s="13" t="inlineStr">
        <is>
          <t>TXN-1372</t>
        </is>
      </c>
      <c r="B209" s="13" t="inlineStr">
        <is>
          <t>2026-09-25</t>
        </is>
      </c>
      <c r="C209" s="13" t="inlineStr">
        <is>
          <t>prj-e-commerce-engine-102</t>
        </is>
      </c>
      <c r="D209" s="14" t="inlineStr">
        <is>
          <t>E-Commerce Engine</t>
        </is>
      </c>
      <c r="E209" s="13" t="inlineStr">
        <is>
          <t>us-east4</t>
        </is>
      </c>
      <c r="F209" s="14" t="inlineStr">
        <is>
          <t>Compute Engine</t>
        </is>
      </c>
      <c r="G209" s="14" t="inlineStr">
        <is>
          <t>N2 Standard 8 vCPU</t>
        </is>
      </c>
      <c r="H209" s="15" t="n">
        <v>5574.73</v>
      </c>
      <c r="I209" s="13" t="inlineStr">
        <is>
          <t>Active</t>
        </is>
      </c>
    </row>
    <row r="210">
      <c r="A210" s="13" t="inlineStr">
        <is>
          <t>TXN-1011</t>
        </is>
      </c>
      <c r="B210" s="13" t="inlineStr">
        <is>
          <t>2026-09-13</t>
        </is>
      </c>
      <c r="C210" s="13" t="inlineStr">
        <is>
          <t>prj-hardware-and-iot-102</t>
        </is>
      </c>
      <c r="D210" s="14" t="inlineStr">
        <is>
          <t>Hardware &amp; IoT</t>
        </is>
      </c>
      <c r="E210" s="13" t="inlineStr">
        <is>
          <t>us-east4</t>
        </is>
      </c>
      <c r="F210" s="14" t="inlineStr">
        <is>
          <t>BigQuery</t>
        </is>
      </c>
      <c r="G210" s="14" t="inlineStr">
        <is>
          <t>Analysis Slot Usage</t>
        </is>
      </c>
      <c r="H210" s="15" t="n">
        <v>6036</v>
      </c>
      <c r="I210" s="13" t="inlineStr">
        <is>
          <t>Active</t>
        </is>
      </c>
    </row>
    <row r="211">
      <c r="A211" s="13" t="inlineStr">
        <is>
          <t>TXN-1424</t>
        </is>
      </c>
      <c r="B211" s="13" t="inlineStr">
        <is>
          <t>2026-09-30</t>
        </is>
      </c>
      <c r="C211" s="13" t="inlineStr">
        <is>
          <t>prj-e-commerce-engine-105</t>
        </is>
      </c>
      <c r="D211" s="14" t="inlineStr">
        <is>
          <t>E-Commerce Engine</t>
        </is>
      </c>
      <c r="E211" s="13" t="inlineStr">
        <is>
          <t>asia-east1</t>
        </is>
      </c>
      <c r="F211" s="14" t="inlineStr">
        <is>
          <t>Google Kubernetes Engine</t>
        </is>
      </c>
      <c r="G211" s="14" t="inlineStr">
        <is>
          <t>Autopilot Pod Compute</t>
        </is>
      </c>
      <c r="H211" s="15" t="n">
        <v>9635.23</v>
      </c>
      <c r="I211" s="13" t="inlineStr">
        <is>
          <t>Active</t>
        </is>
      </c>
    </row>
    <row r="212">
      <c r="A212" s="13" t="inlineStr">
        <is>
          <t>TXN-1029</t>
        </is>
      </c>
      <c r="B212" s="13" t="inlineStr">
        <is>
          <t>2026-09-25</t>
        </is>
      </c>
      <c r="C212" s="13" t="inlineStr">
        <is>
          <t>prj-e-commerce-engine-104</t>
        </is>
      </c>
      <c r="D212" s="14" t="inlineStr">
        <is>
          <t>E-Commerce Engine</t>
        </is>
      </c>
      <c r="E212" s="13" t="inlineStr">
        <is>
          <t>europe-west1</t>
        </is>
      </c>
      <c r="F212" s="14" t="inlineStr">
        <is>
          <t>Cloud Storage</t>
        </is>
      </c>
      <c r="G212" s="14" t="inlineStr">
        <is>
          <t>Standard Storage GB</t>
        </is>
      </c>
      <c r="H212" s="15" t="n">
        <v>3661.81</v>
      </c>
      <c r="I212" s="13" t="inlineStr">
        <is>
          <t>Active</t>
        </is>
      </c>
    </row>
    <row r="213">
      <c r="A213" s="13" t="inlineStr">
        <is>
          <t>TXN-1213</t>
        </is>
      </c>
      <c r="B213" s="13" t="inlineStr">
        <is>
          <t>2026-09-02</t>
        </is>
      </c>
      <c r="C213" s="13" t="inlineStr">
        <is>
          <t>prj-hardware-and-iot-105</t>
        </is>
      </c>
      <c r="D213" s="14" t="inlineStr">
        <is>
          <t>Hardware &amp; IoT</t>
        </is>
      </c>
      <c r="E213" s="13" t="inlineStr">
        <is>
          <t>europe-west1</t>
        </is>
      </c>
      <c r="F213" s="14" t="inlineStr">
        <is>
          <t>Cloud Storage</t>
        </is>
      </c>
      <c r="G213" s="14" t="inlineStr">
        <is>
          <t>Standard Storage GB</t>
        </is>
      </c>
      <c r="H213" s="15" t="n">
        <v>1733.53</v>
      </c>
      <c r="I213" s="13" t="inlineStr">
        <is>
          <t>Active</t>
        </is>
      </c>
    </row>
    <row r="214">
      <c r="A214" s="13" t="inlineStr">
        <is>
          <t>TXN-1287</t>
        </is>
      </c>
      <c r="B214" s="13" t="inlineStr">
        <is>
          <t>2026-09-16</t>
        </is>
      </c>
      <c r="C214" s="13" t="inlineStr">
        <is>
          <t>prj-hardware-and-iot-105</t>
        </is>
      </c>
      <c r="D214" s="14" t="inlineStr">
        <is>
          <t>Hardware &amp; IoT</t>
        </is>
      </c>
      <c r="E214" s="13" t="inlineStr">
        <is>
          <t>southamerica-east1</t>
        </is>
      </c>
      <c r="F214" s="14" t="inlineStr">
        <is>
          <t>Compute Engine</t>
        </is>
      </c>
      <c r="G214" s="14" t="inlineStr">
        <is>
          <t>N2 Standard 8 vCPU</t>
        </is>
      </c>
      <c r="H214" s="15" t="n">
        <v>6904.66</v>
      </c>
      <c r="I214" s="13" t="inlineStr">
        <is>
          <t>Active</t>
        </is>
      </c>
    </row>
    <row r="215">
      <c r="A215" s="13" t="inlineStr">
        <is>
          <t>TXN-1444</t>
        </is>
      </c>
      <c r="B215" s="13" t="inlineStr">
        <is>
          <t>2026-09-13</t>
        </is>
      </c>
      <c r="C215" s="13" t="inlineStr">
        <is>
          <t>prj-e-commerce-engine-105</t>
        </is>
      </c>
      <c r="D215" s="14" t="inlineStr">
        <is>
          <t>E-Commerce Engine</t>
        </is>
      </c>
      <c r="E215" s="13" t="inlineStr">
        <is>
          <t>europe-west1</t>
        </is>
      </c>
      <c r="F215" s="14" t="inlineStr">
        <is>
          <t>Cloud SQL</t>
        </is>
      </c>
      <c r="G215" s="14" t="inlineStr">
        <is>
          <t>PostgreSQL High Availability</t>
        </is>
      </c>
      <c r="H215" s="15" t="n">
        <v>4791.13</v>
      </c>
      <c r="I215" s="13" t="inlineStr">
        <is>
          <t>Active</t>
        </is>
      </c>
    </row>
    <row r="216">
      <c r="A216" s="13" t="inlineStr">
        <is>
          <t>TXN-1318</t>
        </is>
      </c>
      <c r="B216" s="13" t="inlineStr">
        <is>
          <t>2026-09-24</t>
        </is>
      </c>
      <c r="C216" s="13" t="inlineStr">
        <is>
          <t>prj-global-logistics-105</t>
        </is>
      </c>
      <c r="D216" s="14" t="inlineStr">
        <is>
          <t>Global Logistics</t>
        </is>
      </c>
      <c r="E216" s="13" t="inlineStr">
        <is>
          <t>us-central1</t>
        </is>
      </c>
      <c r="F216" s="14" t="inlineStr">
        <is>
          <t>Cloud Storage</t>
        </is>
      </c>
      <c r="G216" s="14" t="inlineStr">
        <is>
          <t>Standard Storage GB</t>
        </is>
      </c>
      <c r="H216" s="15" t="n">
        <v>2963.03</v>
      </c>
      <c r="I216" s="13" t="inlineStr">
        <is>
          <t>Active</t>
        </is>
      </c>
    </row>
    <row r="217">
      <c r="A217" s="13" t="inlineStr">
        <is>
          <t>TXN-1454</t>
        </is>
      </c>
      <c r="B217" s="13" t="inlineStr">
        <is>
          <t>2026-09-08</t>
        </is>
      </c>
      <c r="C217" s="13" t="inlineStr">
        <is>
          <t>prj-global-logistics-103</t>
        </is>
      </c>
      <c r="D217" s="14" t="inlineStr">
        <is>
          <t>Global Logistics</t>
        </is>
      </c>
      <c r="E217" s="13" t="inlineStr">
        <is>
          <t>southamerica-east1</t>
        </is>
      </c>
      <c r="F217" s="14" t="inlineStr">
        <is>
          <t>Google Kubernetes Engine</t>
        </is>
      </c>
      <c r="G217" s="14" t="inlineStr">
        <is>
          <t>Autopilot Pod Compute</t>
        </is>
      </c>
      <c r="H217" s="15" t="n">
        <v>9891.290000000001</v>
      </c>
      <c r="I217" s="13" t="inlineStr">
        <is>
          <t>Active</t>
        </is>
      </c>
    </row>
    <row r="218">
      <c r="A218" s="13" t="inlineStr">
        <is>
          <t>TXN-1453</t>
        </is>
      </c>
      <c r="B218" s="13" t="inlineStr">
        <is>
          <t>2026-09-23</t>
        </is>
      </c>
      <c r="C218" s="13" t="inlineStr">
        <is>
          <t>prj-pro-services-101</t>
        </is>
      </c>
      <c r="D218" s="14" t="inlineStr">
        <is>
          <t>Pro Services</t>
        </is>
      </c>
      <c r="E218" s="13" t="inlineStr">
        <is>
          <t>europe-west1</t>
        </is>
      </c>
      <c r="F218" s="14" t="inlineStr">
        <is>
          <t>Compute Engine</t>
        </is>
      </c>
      <c r="G218" s="14" t="inlineStr">
        <is>
          <t>N2 Standard 8 vCPU</t>
        </is>
      </c>
      <c r="H218" s="15" t="n">
        <v>5597.54</v>
      </c>
      <c r="I218" s="13" t="inlineStr">
        <is>
          <t>Active</t>
        </is>
      </c>
    </row>
    <row r="219">
      <c r="A219" s="13" t="inlineStr">
        <is>
          <t>TXN-1439</t>
        </is>
      </c>
      <c r="B219" s="13" t="inlineStr">
        <is>
          <t>2026-09-21</t>
        </is>
      </c>
      <c r="C219" s="13" t="inlineStr">
        <is>
          <t>prj-hardware-and-iot-103</t>
        </is>
      </c>
      <c r="D219" s="14" t="inlineStr">
        <is>
          <t>Hardware &amp; IoT</t>
        </is>
      </c>
      <c r="E219" s="13" t="inlineStr">
        <is>
          <t>asia-east1</t>
        </is>
      </c>
      <c r="F219" s="14" t="inlineStr">
        <is>
          <t>BigQuery</t>
        </is>
      </c>
      <c r="G219" s="14" t="inlineStr">
        <is>
          <t>Analysis Slot Usage</t>
        </is>
      </c>
      <c r="H219" s="15" t="n">
        <v>6820.49</v>
      </c>
      <c r="I219" s="13" t="inlineStr">
        <is>
          <t>Active</t>
        </is>
      </c>
    </row>
    <row r="220">
      <c r="A220" s="13" t="inlineStr">
        <is>
          <t>TXN-1393</t>
        </is>
      </c>
      <c r="B220" s="13" t="inlineStr">
        <is>
          <t>2026-09-01</t>
        </is>
      </c>
      <c r="C220" s="13" t="inlineStr">
        <is>
          <t>prj-hardware-and-iot-102</t>
        </is>
      </c>
      <c r="D220" s="14" t="inlineStr">
        <is>
          <t>Hardware &amp; IoT</t>
        </is>
      </c>
      <c r="E220" s="13" t="inlineStr">
        <is>
          <t>asia-east1</t>
        </is>
      </c>
      <c r="F220" s="14" t="inlineStr">
        <is>
          <t>Google Kubernetes Engine</t>
        </is>
      </c>
      <c r="G220" s="14" t="inlineStr">
        <is>
          <t>Autopilot Pod Compute</t>
        </is>
      </c>
      <c r="H220" s="15" t="n">
        <v>6052.97</v>
      </c>
      <c r="I220" s="13" t="inlineStr">
        <is>
          <t>Active</t>
        </is>
      </c>
    </row>
    <row r="221">
      <c r="A221" s="13" t="inlineStr">
        <is>
          <t>TXN-1136</t>
        </is>
      </c>
      <c r="B221" s="13" t="inlineStr">
        <is>
          <t>2026-09-10</t>
        </is>
      </c>
      <c r="C221" s="13" t="inlineStr">
        <is>
          <t>prj-global-logistics-103</t>
        </is>
      </c>
      <c r="D221" s="14" t="inlineStr">
        <is>
          <t>Global Logistics</t>
        </is>
      </c>
      <c r="E221" s="13" t="inlineStr">
        <is>
          <t>asia-east1</t>
        </is>
      </c>
      <c r="F221" s="14" t="inlineStr">
        <is>
          <t>Cloud Storage</t>
        </is>
      </c>
      <c r="G221" s="14" t="inlineStr">
        <is>
          <t>Standard Storage GB</t>
        </is>
      </c>
      <c r="H221" s="15" t="n">
        <v>1236.79</v>
      </c>
      <c r="I221" s="13" t="inlineStr">
        <is>
          <t>Active</t>
        </is>
      </c>
    </row>
    <row r="222">
      <c r="A222" s="13" t="inlineStr">
        <is>
          <t>TXN-1152</t>
        </is>
      </c>
      <c r="B222" s="13" t="inlineStr">
        <is>
          <t>2026-09-15</t>
        </is>
      </c>
      <c r="C222" s="13" t="inlineStr">
        <is>
          <t>prj-hardware-and-iot-105</t>
        </is>
      </c>
      <c r="D222" s="14" t="inlineStr">
        <is>
          <t>Hardware &amp; IoT</t>
        </is>
      </c>
      <c r="E222" s="13" t="inlineStr">
        <is>
          <t>us-east4</t>
        </is>
      </c>
      <c r="F222" s="14" t="inlineStr">
        <is>
          <t>BigQuery</t>
        </is>
      </c>
      <c r="G222" s="14" t="inlineStr">
        <is>
          <t>Analysis Slot Usage</t>
        </is>
      </c>
      <c r="H222" s="15" t="n">
        <v>6969.9</v>
      </c>
      <c r="I222" s="13" t="inlineStr">
        <is>
          <t>Active</t>
        </is>
      </c>
    </row>
    <row r="223">
      <c r="A223" s="13" t="inlineStr">
        <is>
          <t>TXN-9902</t>
        </is>
      </c>
      <c r="B223" s="13" t="inlineStr">
        <is>
          <t>2026-09-14</t>
        </is>
      </c>
      <c r="C223" s="13" t="inlineStr">
        <is>
          <t>prj-e-commerce-engine-103</t>
        </is>
      </c>
      <c r="D223" s="14" t="inlineStr">
        <is>
          <t>E-Commerce Engine</t>
        </is>
      </c>
      <c r="E223" s="13" t="inlineStr">
        <is>
          <t>us-east4</t>
        </is>
      </c>
      <c r="F223" s="14" t="inlineStr">
        <is>
          <t>Compute Engine</t>
        </is>
      </c>
      <c r="G223" s="14" t="inlineStr">
        <is>
          <t>Unthrottled GPU Cluster Autoscaling</t>
        </is>
      </c>
      <c r="H223" s="15" t="n">
        <v>82400</v>
      </c>
      <c r="I223" s="13" t="inlineStr">
        <is>
          <t>Active</t>
        </is>
      </c>
    </row>
    <row r="224">
      <c r="A224" s="13" t="inlineStr">
        <is>
          <t>TXN-1059</t>
        </is>
      </c>
      <c r="B224" s="13" t="inlineStr">
        <is>
          <t>2026-09-27</t>
        </is>
      </c>
      <c r="C224" s="13" t="inlineStr">
        <is>
          <t>prj-e-commerce-engine-102</t>
        </is>
      </c>
      <c r="D224" s="14" t="inlineStr">
        <is>
          <t>E-Commerce Engine</t>
        </is>
      </c>
      <c r="E224" s="13" t="inlineStr">
        <is>
          <t>asia-east1</t>
        </is>
      </c>
      <c r="F224" s="14" t="inlineStr">
        <is>
          <t>Compute Engine</t>
        </is>
      </c>
      <c r="G224" s="14" t="inlineStr">
        <is>
          <t>N2 Standard 8 vCPU</t>
        </is>
      </c>
      <c r="H224" s="15" t="n">
        <v>4557.86</v>
      </c>
      <c r="I224" s="13" t="inlineStr">
        <is>
          <t>Active</t>
        </is>
      </c>
    </row>
    <row r="225">
      <c r="A225" s="13" t="inlineStr">
        <is>
          <t>TXN-1288</t>
        </is>
      </c>
      <c r="B225" s="13" t="inlineStr">
        <is>
          <t>2026-09-10</t>
        </is>
      </c>
      <c r="C225" s="13" t="inlineStr">
        <is>
          <t>prj-enterprise-saas-104</t>
        </is>
      </c>
      <c r="D225" s="14" t="inlineStr">
        <is>
          <t>Enterprise SaaS</t>
        </is>
      </c>
      <c r="E225" s="13" t="inlineStr">
        <is>
          <t>europe-west1</t>
        </is>
      </c>
      <c r="F225" s="14" t="inlineStr">
        <is>
          <t>BigQuery</t>
        </is>
      </c>
      <c r="G225" s="14" t="inlineStr">
        <is>
          <t>Analysis Slot Usage</t>
        </is>
      </c>
      <c r="H225" s="15" t="n">
        <v>8979.18</v>
      </c>
      <c r="I225" s="13" t="inlineStr">
        <is>
          <t>Active</t>
        </is>
      </c>
    </row>
    <row r="226">
      <c r="A226" s="13" t="inlineStr">
        <is>
          <t>TXN-1175</t>
        </is>
      </c>
      <c r="B226" s="13" t="inlineStr">
        <is>
          <t>2026-09-24</t>
        </is>
      </c>
      <c r="C226" s="13" t="inlineStr">
        <is>
          <t>prj-pro-services-102</t>
        </is>
      </c>
      <c r="D226" s="14" t="inlineStr">
        <is>
          <t>Pro Services</t>
        </is>
      </c>
      <c r="E226" s="13" t="inlineStr">
        <is>
          <t>us-east4</t>
        </is>
      </c>
      <c r="F226" s="14" t="inlineStr">
        <is>
          <t>Cloud SQL</t>
        </is>
      </c>
      <c r="G226" s="14" t="inlineStr">
        <is>
          <t>PostgreSQL High Availability</t>
        </is>
      </c>
      <c r="H226" s="15" t="n">
        <v>4233.65</v>
      </c>
      <c r="I226" s="13" t="inlineStr">
        <is>
          <t>Active</t>
        </is>
      </c>
    </row>
    <row r="227">
      <c r="A227" s="13" t="inlineStr">
        <is>
          <t>TXN-1402</t>
        </is>
      </c>
      <c r="B227" s="13" t="inlineStr">
        <is>
          <t>2026-09-18</t>
        </is>
      </c>
      <c r="C227" s="13" t="inlineStr">
        <is>
          <t>prj-pro-services-102</t>
        </is>
      </c>
      <c r="D227" s="14" t="inlineStr">
        <is>
          <t>Pro Services</t>
        </is>
      </c>
      <c r="E227" s="13" t="inlineStr">
        <is>
          <t>southamerica-east1</t>
        </is>
      </c>
      <c r="F227" s="14" t="inlineStr">
        <is>
          <t>Cloud Storage</t>
        </is>
      </c>
      <c r="G227" s="14" t="inlineStr">
        <is>
          <t>Standard Storage GB</t>
        </is>
      </c>
      <c r="H227" s="15" t="n">
        <v>2968.89</v>
      </c>
      <c r="I227" s="13" t="inlineStr">
        <is>
          <t>Active</t>
        </is>
      </c>
    </row>
    <row r="228">
      <c r="A228" s="13" t="inlineStr">
        <is>
          <t>TXN-1412</t>
        </is>
      </c>
      <c r="B228" s="13" t="inlineStr">
        <is>
          <t>2026-09-16</t>
        </is>
      </c>
      <c r="C228" s="13" t="inlineStr">
        <is>
          <t>prj-enterprise-saas-102</t>
        </is>
      </c>
      <c r="D228" s="14" t="inlineStr">
        <is>
          <t>Enterprise SaaS</t>
        </is>
      </c>
      <c r="E228" s="13" t="inlineStr">
        <is>
          <t>asia-east1</t>
        </is>
      </c>
      <c r="F228" s="14" t="inlineStr">
        <is>
          <t>Cloud SQL</t>
        </is>
      </c>
      <c r="G228" s="14" t="inlineStr">
        <is>
          <t>PostgreSQL High Availability</t>
        </is>
      </c>
      <c r="H228" s="15" t="n">
        <v>5191.4</v>
      </c>
      <c r="I228" s="13" t="inlineStr">
        <is>
          <t>Active</t>
        </is>
      </c>
    </row>
    <row r="229">
      <c r="A229" s="13" t="inlineStr">
        <is>
          <t>TXN-1133</t>
        </is>
      </c>
      <c r="B229" s="13" t="inlineStr">
        <is>
          <t>2026-09-24</t>
        </is>
      </c>
      <c r="C229" s="13" t="inlineStr">
        <is>
          <t>prj-global-logistics-105</t>
        </is>
      </c>
      <c r="D229" s="14" t="inlineStr">
        <is>
          <t>Global Logistics</t>
        </is>
      </c>
      <c r="E229" s="13" t="inlineStr">
        <is>
          <t>asia-east1</t>
        </is>
      </c>
      <c r="F229" s="14" t="inlineStr">
        <is>
          <t>Compute Engine</t>
        </is>
      </c>
      <c r="G229" s="14" t="inlineStr">
        <is>
          <t>N2 Standard 8 vCPU</t>
        </is>
      </c>
      <c r="H229" s="15" t="n">
        <v>7303.51</v>
      </c>
      <c r="I229" s="13" t="inlineStr">
        <is>
          <t>Active</t>
        </is>
      </c>
    </row>
    <row r="230">
      <c r="A230" s="13" t="inlineStr">
        <is>
          <t>TXN-1342</t>
        </is>
      </c>
      <c r="B230" s="13" t="inlineStr">
        <is>
          <t>2026-09-25</t>
        </is>
      </c>
      <c r="C230" s="13" t="inlineStr">
        <is>
          <t>prj-e-commerce-engine-101</t>
        </is>
      </c>
      <c r="D230" s="14" t="inlineStr">
        <is>
          <t>E-Commerce Engine</t>
        </is>
      </c>
      <c r="E230" s="13" t="inlineStr">
        <is>
          <t>us-east4</t>
        </is>
      </c>
      <c r="F230" s="14" t="inlineStr">
        <is>
          <t>Google Kubernetes Engine</t>
        </is>
      </c>
      <c r="G230" s="14" t="inlineStr">
        <is>
          <t>Autopilot Pod Compute</t>
        </is>
      </c>
      <c r="H230" s="15" t="n">
        <v>7988.23</v>
      </c>
      <c r="I230" s="13" t="inlineStr">
        <is>
          <t>Active</t>
        </is>
      </c>
    </row>
    <row r="231">
      <c r="A231" s="13" t="inlineStr">
        <is>
          <t>TXN-1446</t>
        </is>
      </c>
      <c r="B231" s="13" t="inlineStr">
        <is>
          <t>2026-09-24</t>
        </is>
      </c>
      <c r="C231" s="13" t="inlineStr">
        <is>
          <t>prj-hardware-and-iot-105</t>
        </is>
      </c>
      <c r="D231" s="14" t="inlineStr">
        <is>
          <t>Hardware &amp; IoT</t>
        </is>
      </c>
      <c r="E231" s="13" t="inlineStr">
        <is>
          <t>europe-west1</t>
        </is>
      </c>
      <c r="F231" s="14" t="inlineStr">
        <is>
          <t>Cloud Storage</t>
        </is>
      </c>
      <c r="G231" s="14" t="inlineStr">
        <is>
          <t>Standard Storage GB</t>
        </is>
      </c>
      <c r="H231" s="15" t="n">
        <v>2469.62</v>
      </c>
      <c r="I231" s="13" t="inlineStr">
        <is>
          <t>Active</t>
        </is>
      </c>
    </row>
    <row r="232">
      <c r="A232" s="13" t="inlineStr">
        <is>
          <t>TXN-1036</t>
        </is>
      </c>
      <c r="B232" s="13" t="inlineStr">
        <is>
          <t>2026-09-22</t>
        </is>
      </c>
      <c r="C232" s="13" t="inlineStr">
        <is>
          <t>prj-pro-services-102</t>
        </is>
      </c>
      <c r="D232" s="14" t="inlineStr">
        <is>
          <t>Pro Services</t>
        </is>
      </c>
      <c r="E232" s="13" t="inlineStr">
        <is>
          <t>europe-west1</t>
        </is>
      </c>
      <c r="F232" s="14" t="inlineStr">
        <is>
          <t>Google Kubernetes Engine</t>
        </is>
      </c>
      <c r="G232" s="14" t="inlineStr">
        <is>
          <t>Autopilot Pod Compute</t>
        </is>
      </c>
      <c r="H232" s="15" t="n">
        <v>9340.120000000001</v>
      </c>
      <c r="I232" s="13" t="inlineStr">
        <is>
          <t>Active</t>
        </is>
      </c>
    </row>
    <row r="233">
      <c r="A233" s="13" t="inlineStr">
        <is>
          <t>TXN-1115</t>
        </is>
      </c>
      <c r="B233" s="13" t="inlineStr">
        <is>
          <t>2026-09-20</t>
        </is>
      </c>
      <c r="C233" s="13" t="inlineStr">
        <is>
          <t>prj-enterprise-saas-101</t>
        </is>
      </c>
      <c r="D233" s="14" t="inlineStr">
        <is>
          <t>Enterprise SaaS</t>
        </is>
      </c>
      <c r="E233" s="13" t="inlineStr">
        <is>
          <t>europe-west1</t>
        </is>
      </c>
      <c r="F233" s="14" t="inlineStr">
        <is>
          <t>BigQuery</t>
        </is>
      </c>
      <c r="G233" s="14" t="inlineStr">
        <is>
          <t>Analysis Slot Usage</t>
        </is>
      </c>
      <c r="H233" s="15" t="n">
        <v>7182.77</v>
      </c>
      <c r="I233" s="13" t="inlineStr">
        <is>
          <t>Active</t>
        </is>
      </c>
    </row>
    <row r="234">
      <c r="A234" s="13" t="inlineStr">
        <is>
          <t>TXN-1467</t>
        </is>
      </c>
      <c r="B234" s="13" t="inlineStr">
        <is>
          <t>2026-09-13</t>
        </is>
      </c>
      <c r="C234" s="13" t="inlineStr">
        <is>
          <t>prj-hardware-and-iot-104</t>
        </is>
      </c>
      <c r="D234" s="14" t="inlineStr">
        <is>
          <t>Hardware &amp; IoT</t>
        </is>
      </c>
      <c r="E234" s="13" t="inlineStr">
        <is>
          <t>us-central1</t>
        </is>
      </c>
      <c r="F234" s="14" t="inlineStr">
        <is>
          <t>BigQuery</t>
        </is>
      </c>
      <c r="G234" s="14" t="inlineStr">
        <is>
          <t>Analysis Slot Usage</t>
        </is>
      </c>
      <c r="H234" s="15" t="n">
        <v>6698.32</v>
      </c>
      <c r="I234" s="13" t="inlineStr">
        <is>
          <t>Active</t>
        </is>
      </c>
    </row>
    <row r="235">
      <c r="A235" s="13" t="inlineStr">
        <is>
          <t>TXN-1303</t>
        </is>
      </c>
      <c r="B235" s="13" t="inlineStr">
        <is>
          <t>2026-09-13</t>
        </is>
      </c>
      <c r="C235" s="13" t="inlineStr">
        <is>
          <t>prj-hardware-and-iot-103</t>
        </is>
      </c>
      <c r="D235" s="14" t="inlineStr">
        <is>
          <t>Hardware &amp; IoT</t>
        </is>
      </c>
      <c r="E235" s="13" t="inlineStr">
        <is>
          <t>asia-east1</t>
        </is>
      </c>
      <c r="F235" s="14" t="inlineStr">
        <is>
          <t>Compute Engine</t>
        </is>
      </c>
      <c r="G235" s="14" t="inlineStr">
        <is>
          <t>N2 Standard 8 vCPU</t>
        </is>
      </c>
      <c r="H235" s="15" t="n">
        <v>6654.08</v>
      </c>
      <c r="I235" s="13" t="inlineStr">
        <is>
          <t>Active</t>
        </is>
      </c>
    </row>
    <row r="236">
      <c r="A236" s="13" t="inlineStr">
        <is>
          <t>TXN-1171</t>
        </is>
      </c>
      <c r="B236" s="13" t="inlineStr">
        <is>
          <t>2026-09-10</t>
        </is>
      </c>
      <c r="C236" s="13" t="inlineStr">
        <is>
          <t>prj-hardware-and-iot-104</t>
        </is>
      </c>
      <c r="D236" s="14" t="inlineStr">
        <is>
          <t>Hardware &amp; IoT</t>
        </is>
      </c>
      <c r="E236" s="13" t="inlineStr">
        <is>
          <t>southamerica-east1</t>
        </is>
      </c>
      <c r="F236" s="14" t="inlineStr">
        <is>
          <t>Google Kubernetes Engine</t>
        </is>
      </c>
      <c r="G236" s="14" t="inlineStr">
        <is>
          <t>Autopilot Pod Compute</t>
        </is>
      </c>
      <c r="H236" s="15" t="n">
        <v>10191.56</v>
      </c>
      <c r="I236" s="13" t="inlineStr">
        <is>
          <t>Active</t>
        </is>
      </c>
    </row>
    <row r="237">
      <c r="A237" s="13" t="inlineStr">
        <is>
          <t>TXN-1201</t>
        </is>
      </c>
      <c r="B237" s="13" t="inlineStr">
        <is>
          <t>2026-09-26</t>
        </is>
      </c>
      <c r="C237" s="13" t="inlineStr">
        <is>
          <t>prj-pro-services-105</t>
        </is>
      </c>
      <c r="D237" s="14" t="inlineStr">
        <is>
          <t>Pro Services</t>
        </is>
      </c>
      <c r="E237" s="13" t="inlineStr">
        <is>
          <t>us-central1</t>
        </is>
      </c>
      <c r="F237" s="14" t="inlineStr">
        <is>
          <t>BigQuery</t>
        </is>
      </c>
      <c r="G237" s="14" t="inlineStr">
        <is>
          <t>Analysis Slot Usage</t>
        </is>
      </c>
      <c r="H237" s="15" t="n">
        <v>4679.74</v>
      </c>
      <c r="I237" s="13" t="inlineStr">
        <is>
          <t>Active</t>
        </is>
      </c>
    </row>
    <row r="238">
      <c r="A238" s="13" t="inlineStr">
        <is>
          <t>TXN-1151</t>
        </is>
      </c>
      <c r="B238" s="13" t="inlineStr">
        <is>
          <t>2026-09-26</t>
        </is>
      </c>
      <c r="C238" s="13" t="inlineStr">
        <is>
          <t>prj-hardware-and-iot-103</t>
        </is>
      </c>
      <c r="D238" s="14" t="inlineStr">
        <is>
          <t>Hardware &amp; IoT</t>
        </is>
      </c>
      <c r="E238" s="13" t="inlineStr">
        <is>
          <t>southamerica-east1</t>
        </is>
      </c>
      <c r="F238" s="14" t="inlineStr">
        <is>
          <t>Google Kubernetes Engine</t>
        </is>
      </c>
      <c r="G238" s="14" t="inlineStr">
        <is>
          <t>Autopilot Pod Compute</t>
        </is>
      </c>
      <c r="H238" s="15" t="n">
        <v>7634.92</v>
      </c>
      <c r="I238" s="13" t="inlineStr">
        <is>
          <t>Active</t>
        </is>
      </c>
    </row>
    <row r="239">
      <c r="A239" s="13" t="inlineStr">
        <is>
          <t>TXN-1299</t>
        </is>
      </c>
      <c r="B239" s="13" t="inlineStr">
        <is>
          <t>2026-09-23</t>
        </is>
      </c>
      <c r="C239" s="13" t="inlineStr">
        <is>
          <t>prj-global-logistics-101</t>
        </is>
      </c>
      <c r="D239" s="14" t="inlineStr">
        <is>
          <t>Global Logistics</t>
        </is>
      </c>
      <c r="E239" s="13" t="inlineStr">
        <is>
          <t>asia-east1</t>
        </is>
      </c>
      <c r="F239" s="14" t="inlineStr">
        <is>
          <t>Cloud SQL</t>
        </is>
      </c>
      <c r="G239" s="14" t="inlineStr">
        <is>
          <t>PostgreSQL High Availability</t>
        </is>
      </c>
      <c r="H239" s="15" t="n">
        <v>4651.83</v>
      </c>
      <c r="I239" s="13" t="inlineStr">
        <is>
          <t>Active</t>
        </is>
      </c>
    </row>
    <row r="240">
      <c r="A240" s="13" t="inlineStr">
        <is>
          <t>TXN-1260</t>
        </is>
      </c>
      <c r="B240" s="13" t="inlineStr">
        <is>
          <t>2026-09-21</t>
        </is>
      </c>
      <c r="C240" s="13" t="inlineStr">
        <is>
          <t>prj-enterprise-saas-104</t>
        </is>
      </c>
      <c r="D240" s="14" t="inlineStr">
        <is>
          <t>Enterprise SaaS</t>
        </is>
      </c>
      <c r="E240" s="13" t="inlineStr">
        <is>
          <t>europe-west1</t>
        </is>
      </c>
      <c r="F240" s="14" t="inlineStr">
        <is>
          <t>Cloud SQL</t>
        </is>
      </c>
      <c r="G240" s="14" t="inlineStr">
        <is>
          <t>PostgreSQL High Availability</t>
        </is>
      </c>
      <c r="H240" s="15" t="n">
        <v>5140.56</v>
      </c>
      <c r="I240" s="13" t="inlineStr">
        <is>
          <t>Active</t>
        </is>
      </c>
    </row>
    <row r="241">
      <c r="A241" s="13" t="inlineStr">
        <is>
          <t>TXN-1041</t>
        </is>
      </c>
      <c r="B241" s="13" t="inlineStr">
        <is>
          <t>2026-09-04</t>
        </is>
      </c>
      <c r="C241" s="13" t="inlineStr">
        <is>
          <t>prj-global-logistics-105</t>
        </is>
      </c>
      <c r="D241" s="14" t="inlineStr">
        <is>
          <t>Global Logistics</t>
        </is>
      </c>
      <c r="E241" s="13" t="inlineStr">
        <is>
          <t>europe-west1</t>
        </is>
      </c>
      <c r="F241" s="14" t="inlineStr">
        <is>
          <t>Cloud Storage</t>
        </is>
      </c>
      <c r="G241" s="14" t="inlineStr">
        <is>
          <t>Standard Storage GB</t>
        </is>
      </c>
      <c r="H241" s="15" t="n">
        <v>2366.4</v>
      </c>
      <c r="I241" s="13" t="inlineStr">
        <is>
          <t>Active</t>
        </is>
      </c>
    </row>
    <row r="242">
      <c r="A242" s="13" t="inlineStr">
        <is>
          <t>TXN-1461</t>
        </is>
      </c>
      <c r="B242" s="13" t="inlineStr">
        <is>
          <t>2026-09-22</t>
        </is>
      </c>
      <c r="C242" s="13" t="inlineStr">
        <is>
          <t>prj-hardware-and-iot-101</t>
        </is>
      </c>
      <c r="D242" s="14" t="inlineStr">
        <is>
          <t>Hardware &amp; IoT</t>
        </is>
      </c>
      <c r="E242" s="13" t="inlineStr">
        <is>
          <t>southamerica-east1</t>
        </is>
      </c>
      <c r="F242" s="14" t="inlineStr">
        <is>
          <t>Google Kubernetes Engine</t>
        </is>
      </c>
      <c r="G242" s="14" t="inlineStr">
        <is>
          <t>Autopilot Pod Compute</t>
        </is>
      </c>
      <c r="H242" s="15" t="n">
        <v>6076.13</v>
      </c>
      <c r="I242" s="13" t="inlineStr">
        <is>
          <t>Active</t>
        </is>
      </c>
    </row>
    <row r="243">
      <c r="A243" s="13" t="inlineStr">
        <is>
          <t>TXN-1050</t>
        </is>
      </c>
      <c r="B243" s="13" t="inlineStr">
        <is>
          <t>2026-09-17</t>
        </is>
      </c>
      <c r="C243" s="13" t="inlineStr">
        <is>
          <t>prj-enterprise-saas-105</t>
        </is>
      </c>
      <c r="D243" s="14" t="inlineStr">
        <is>
          <t>Enterprise SaaS</t>
        </is>
      </c>
      <c r="E243" s="13" t="inlineStr">
        <is>
          <t>europe-west1</t>
        </is>
      </c>
      <c r="F243" s="14" t="inlineStr">
        <is>
          <t>Compute Engine</t>
        </is>
      </c>
      <c r="G243" s="14" t="inlineStr">
        <is>
          <t>N2 Standard 8 vCPU</t>
        </is>
      </c>
      <c r="H243" s="15" t="n">
        <v>3771.84</v>
      </c>
      <c r="I243" s="13" t="inlineStr">
        <is>
          <t>Active</t>
        </is>
      </c>
    </row>
    <row r="244">
      <c r="A244" s="13" t="inlineStr">
        <is>
          <t>TXN-1465</t>
        </is>
      </c>
      <c r="B244" s="13" t="inlineStr">
        <is>
          <t>2026-09-05</t>
        </is>
      </c>
      <c r="C244" s="13" t="inlineStr">
        <is>
          <t>prj-enterprise-saas-101</t>
        </is>
      </c>
      <c r="D244" s="14" t="inlineStr">
        <is>
          <t>Enterprise SaaS</t>
        </is>
      </c>
      <c r="E244" s="13" t="inlineStr">
        <is>
          <t>southamerica-east1</t>
        </is>
      </c>
      <c r="F244" s="14" t="inlineStr">
        <is>
          <t>BigQuery</t>
        </is>
      </c>
      <c r="G244" s="14" t="inlineStr">
        <is>
          <t>Analysis Slot Usage</t>
        </is>
      </c>
      <c r="H244" s="15" t="n">
        <v>4537.27</v>
      </c>
      <c r="I244" s="13" t="inlineStr">
        <is>
          <t>Active</t>
        </is>
      </c>
    </row>
    <row r="245">
      <c r="A245" s="13" t="inlineStr">
        <is>
          <t>TXN-1060</t>
        </is>
      </c>
      <c r="B245" s="13" t="inlineStr">
        <is>
          <t>2026-09-29</t>
        </is>
      </c>
      <c r="C245" s="13" t="inlineStr">
        <is>
          <t>prj-enterprise-saas-103</t>
        </is>
      </c>
      <c r="D245" s="14" t="inlineStr">
        <is>
          <t>Enterprise SaaS</t>
        </is>
      </c>
      <c r="E245" s="13" t="inlineStr">
        <is>
          <t>southamerica-east1</t>
        </is>
      </c>
      <c r="F245" s="14" t="inlineStr">
        <is>
          <t>Cloud Storage</t>
        </is>
      </c>
      <c r="G245" s="14" t="inlineStr">
        <is>
          <t>Standard Storage GB</t>
        </is>
      </c>
      <c r="H245" s="15" t="n">
        <v>1932.57</v>
      </c>
      <c r="I245" s="13" t="inlineStr">
        <is>
          <t>Active</t>
        </is>
      </c>
    </row>
    <row r="246">
      <c r="A246" s="13" t="inlineStr">
        <is>
          <t>TXN-1318</t>
        </is>
      </c>
      <c r="B246" s="13" t="inlineStr">
        <is>
          <t>2026-09-24</t>
        </is>
      </c>
      <c r="C246" s="13" t="inlineStr">
        <is>
          <t>prj-global-logistics-105</t>
        </is>
      </c>
      <c r="D246" s="14" t="inlineStr">
        <is>
          <t>Global Logistics</t>
        </is>
      </c>
      <c r="E246" s="13" t="inlineStr">
        <is>
          <t>us-central1</t>
        </is>
      </c>
      <c r="F246" s="14" t="inlineStr">
        <is>
          <t>Cloud Storage</t>
        </is>
      </c>
      <c r="G246" s="14" t="inlineStr">
        <is>
          <t>Standard Storage GB</t>
        </is>
      </c>
      <c r="H246" s="15" t="n">
        <v>2963.03</v>
      </c>
      <c r="I246" s="13" t="inlineStr">
        <is>
          <t>Active</t>
        </is>
      </c>
    </row>
    <row r="247">
      <c r="A247" s="13" t="inlineStr">
        <is>
          <t>TXN-1399</t>
        </is>
      </c>
      <c r="B247" s="13" t="inlineStr">
        <is>
          <t>2026-09-06</t>
        </is>
      </c>
      <c r="C247" s="13" t="inlineStr">
        <is>
          <t>prj-pro-services-101</t>
        </is>
      </c>
      <c r="D247" s="14" t="inlineStr">
        <is>
          <t>Pro Services</t>
        </is>
      </c>
      <c r="E247" s="13" t="inlineStr">
        <is>
          <t>southamerica-east1</t>
        </is>
      </c>
      <c r="F247" s="14" t="inlineStr">
        <is>
          <t>BigQuery</t>
        </is>
      </c>
      <c r="G247" s="14" t="inlineStr">
        <is>
          <t>Analysis Slot Usage</t>
        </is>
      </c>
      <c r="H247" s="15" t="n">
        <v>7512.91</v>
      </c>
      <c r="I247" s="13" t="inlineStr">
        <is>
          <t>Active</t>
        </is>
      </c>
    </row>
    <row r="248">
      <c r="A248" s="13" t="inlineStr">
        <is>
          <t>TXN-1204</t>
        </is>
      </c>
      <c r="B248" s="13" t="inlineStr">
        <is>
          <t>2026-09-20</t>
        </is>
      </c>
      <c r="C248" s="13" t="inlineStr">
        <is>
          <t>prj-global-logistics-103</t>
        </is>
      </c>
      <c r="D248" s="14" t="inlineStr">
        <is>
          <t>Global Logistics</t>
        </is>
      </c>
      <c r="E248" s="13" t="inlineStr">
        <is>
          <t>us-central1</t>
        </is>
      </c>
      <c r="F248" s="14" t="inlineStr">
        <is>
          <t>Cloud SQL</t>
        </is>
      </c>
      <c r="G248" s="14" t="inlineStr">
        <is>
          <t>Promotional Credit / Outage SLA Refund</t>
        </is>
      </c>
      <c r="H248" s="15" t="n">
        <v>-1785.54</v>
      </c>
      <c r="I248" s="13" t="inlineStr">
        <is>
          <t>Active</t>
        </is>
      </c>
    </row>
    <row r="249">
      <c r="A249" s="13" t="inlineStr">
        <is>
          <t>TXN-1165</t>
        </is>
      </c>
      <c r="B249" s="13" t="inlineStr">
        <is>
          <t>2026-09-20</t>
        </is>
      </c>
      <c r="C249" s="13" t="inlineStr">
        <is>
          <t>prj-global-logistics-105</t>
        </is>
      </c>
      <c r="D249" s="14" t="inlineStr"/>
      <c r="E249" s="13" t="inlineStr">
        <is>
          <t>europe-west1</t>
        </is>
      </c>
      <c r="F249" s="14" t="inlineStr">
        <is>
          <t>BigQuery</t>
        </is>
      </c>
      <c r="G249" s="14" t="inlineStr">
        <is>
          <t>Analysis Slot Usage</t>
        </is>
      </c>
      <c r="H249" s="15" t="n">
        <v>4075.21</v>
      </c>
      <c r="I249" s="13" t="inlineStr">
        <is>
          <t>Active</t>
        </is>
      </c>
    </row>
    <row r="250">
      <c r="A250" s="13" t="inlineStr">
        <is>
          <t>TXN-1056</t>
        </is>
      </c>
      <c r="B250" s="13" t="inlineStr">
        <is>
          <t>2026-09-19</t>
        </is>
      </c>
      <c r="C250" s="13" t="inlineStr">
        <is>
          <t>prj-enterprise-saas-102</t>
        </is>
      </c>
      <c r="D250" s="14" t="inlineStr">
        <is>
          <t>Enterprise SaaS</t>
        </is>
      </c>
      <c r="E250" s="13" t="inlineStr">
        <is>
          <t>us-central1</t>
        </is>
      </c>
      <c r="F250" s="14" t="inlineStr">
        <is>
          <t>Google Kubernetes Engine</t>
        </is>
      </c>
      <c r="G250" s="14" t="inlineStr">
        <is>
          <t>Autopilot Pod Compute</t>
        </is>
      </c>
      <c r="H250" s="15" t="n">
        <v>8035.31</v>
      </c>
      <c r="I250" s="13" t="inlineStr">
        <is>
          <t>Active</t>
        </is>
      </c>
    </row>
    <row r="251">
      <c r="A251" s="13" t="inlineStr">
        <is>
          <t>TXN-1375</t>
        </is>
      </c>
      <c r="B251" s="13" t="inlineStr">
        <is>
          <t>2026-09-25</t>
        </is>
      </c>
      <c r="C251" s="13" t="inlineStr">
        <is>
          <t>prj-hardware-and-iot-102</t>
        </is>
      </c>
      <c r="D251" s="14" t="inlineStr">
        <is>
          <t>Hardware &amp; IoT</t>
        </is>
      </c>
      <c r="E251" s="13" t="inlineStr">
        <is>
          <t>southamerica-east1</t>
        </is>
      </c>
      <c r="F251" s="14" t="inlineStr">
        <is>
          <t>Cloud SQL</t>
        </is>
      </c>
      <c r="G251" s="14" t="inlineStr">
        <is>
          <t>PostgreSQL High Availability</t>
        </is>
      </c>
      <c r="H251" s="15" t="n">
        <v>5850.68</v>
      </c>
      <c r="I251" s="13" t="inlineStr">
        <is>
          <t>Active</t>
        </is>
      </c>
    </row>
    <row r="252">
      <c r="A252" s="13" t="inlineStr">
        <is>
          <t>TXN-1307</t>
        </is>
      </c>
      <c r="B252" s="13" t="inlineStr">
        <is>
          <t>2026-09-07</t>
        </is>
      </c>
      <c r="C252" s="13" t="inlineStr">
        <is>
          <t>prj-enterprise-saas-103</t>
        </is>
      </c>
      <c r="D252" s="14" t="inlineStr">
        <is>
          <t>Enterprise SaaS</t>
        </is>
      </c>
      <c r="E252" s="13" t="inlineStr">
        <is>
          <t>europe-west1</t>
        </is>
      </c>
      <c r="F252" s="14" t="inlineStr">
        <is>
          <t>Compute Engine</t>
        </is>
      </c>
      <c r="G252" s="14" t="inlineStr">
        <is>
          <t>N2 Standard 8 vCPU</t>
        </is>
      </c>
      <c r="H252" s="15" t="n">
        <v>7233.48</v>
      </c>
      <c r="I252" s="13" t="inlineStr">
        <is>
          <t>Active</t>
        </is>
      </c>
    </row>
    <row r="253">
      <c r="A253" s="13" t="inlineStr">
        <is>
          <t>TXN-1002</t>
        </is>
      </c>
      <c r="B253" s="13" t="inlineStr">
        <is>
          <t>2026-09-24</t>
        </is>
      </c>
      <c r="C253" s="13" t="inlineStr">
        <is>
          <t>prj-enterprise-saas-105</t>
        </is>
      </c>
      <c r="D253" s="14" t="inlineStr">
        <is>
          <t>Enterprise SaaS</t>
        </is>
      </c>
      <c r="E253" s="13" t="inlineStr">
        <is>
          <t>southamerica-east1</t>
        </is>
      </c>
      <c r="F253" s="14" t="inlineStr">
        <is>
          <t>Compute Engine</t>
        </is>
      </c>
      <c r="G253" s="14" t="inlineStr">
        <is>
          <t>N2 Standard 8 vCPU</t>
        </is>
      </c>
      <c r="H253" s="15" t="n">
        <v>5187.69</v>
      </c>
      <c r="I253" s="13" t="inlineStr">
        <is>
          <t>Active</t>
        </is>
      </c>
    </row>
    <row r="254">
      <c r="A254" s="13" t="inlineStr">
        <is>
          <t>TXN-1068</t>
        </is>
      </c>
      <c r="B254" s="13" t="inlineStr">
        <is>
          <t>2026-09-12</t>
        </is>
      </c>
      <c r="C254" s="13" t="inlineStr">
        <is>
          <t>prj-e-commerce-engine-102</t>
        </is>
      </c>
      <c r="D254" s="14" t="inlineStr">
        <is>
          <t>E-Commerce Engine</t>
        </is>
      </c>
      <c r="E254" s="13" t="inlineStr">
        <is>
          <t>us-east4</t>
        </is>
      </c>
      <c r="F254" s="14" t="inlineStr">
        <is>
          <t>Google Kubernetes Engine</t>
        </is>
      </c>
      <c r="G254" s="14" t="inlineStr">
        <is>
          <t>Autopilot Pod Compute</t>
        </is>
      </c>
      <c r="H254" s="15" t="n">
        <v>10554.58</v>
      </c>
      <c r="I254" s="13" t="inlineStr">
        <is>
          <t>Active</t>
        </is>
      </c>
    </row>
    <row r="255">
      <c r="A255" s="13" t="inlineStr">
        <is>
          <t>TXN-1381</t>
        </is>
      </c>
      <c r="B255" s="13" t="inlineStr">
        <is>
          <t>2026-09-07</t>
        </is>
      </c>
      <c r="C255" s="13" t="inlineStr">
        <is>
          <t>prj-global-logistics-105</t>
        </is>
      </c>
      <c r="D255" s="14" t="inlineStr">
        <is>
          <t>Global Logistics</t>
        </is>
      </c>
      <c r="E255" s="13" t="inlineStr">
        <is>
          <t>southamerica-east1</t>
        </is>
      </c>
      <c r="F255" s="14" t="inlineStr">
        <is>
          <t>BigQuery</t>
        </is>
      </c>
      <c r="G255" s="14" t="inlineStr">
        <is>
          <t>Analysis Slot Usage</t>
        </is>
      </c>
      <c r="H255" s="15" t="n">
        <v>7828.94</v>
      </c>
      <c r="I255" s="13" t="inlineStr">
        <is>
          <t>Active</t>
        </is>
      </c>
    </row>
    <row r="256">
      <c r="A256" s="13" t="inlineStr">
        <is>
          <t>TXN-1296</t>
        </is>
      </c>
      <c r="B256" s="13" t="inlineStr">
        <is>
          <t>2026-09-08</t>
        </is>
      </c>
      <c r="C256" s="13" t="inlineStr">
        <is>
          <t>prj-hardware-and-iot-102</t>
        </is>
      </c>
      <c r="D256" s="14" t="inlineStr">
        <is>
          <t>Hardware &amp; IoT</t>
        </is>
      </c>
      <c r="E256" s="13" t="inlineStr">
        <is>
          <t>us-central1</t>
        </is>
      </c>
      <c r="F256" s="14" t="inlineStr">
        <is>
          <t>Compute Engine</t>
        </is>
      </c>
      <c r="G256" s="14" t="inlineStr">
        <is>
          <t>N2 Standard 8 vCPU</t>
        </is>
      </c>
      <c r="H256" s="15" t="n">
        <v>5179.3</v>
      </c>
      <c r="I256" s="13" t="inlineStr">
        <is>
          <t>Active</t>
        </is>
      </c>
    </row>
    <row r="257">
      <c r="A257" s="13" t="inlineStr">
        <is>
          <t>TXN-1311</t>
        </is>
      </c>
      <c r="B257" s="13" t="inlineStr">
        <is>
          <t>2026-09-24</t>
        </is>
      </c>
      <c r="C257" s="13" t="inlineStr">
        <is>
          <t>prj-pro-services-102</t>
        </is>
      </c>
      <c r="D257" s="14" t="inlineStr">
        <is>
          <t>Pro Services</t>
        </is>
      </c>
      <c r="E257" s="13" t="inlineStr">
        <is>
          <t>us-east4</t>
        </is>
      </c>
      <c r="F257" s="14" t="inlineStr">
        <is>
          <t>BigQuery</t>
        </is>
      </c>
      <c r="G257" s="14" t="inlineStr">
        <is>
          <t>Analysis Slot Usage</t>
        </is>
      </c>
      <c r="H257" s="15" t="n">
        <v>6729.12</v>
      </c>
      <c r="I257" s="13" t="inlineStr">
        <is>
          <t>Active</t>
        </is>
      </c>
    </row>
    <row r="258">
      <c r="A258" s="13" t="inlineStr">
        <is>
          <t>TXN-1183</t>
        </is>
      </c>
      <c r="B258" s="13" t="inlineStr">
        <is>
          <t>2026-09-23</t>
        </is>
      </c>
      <c r="C258" s="13" t="inlineStr">
        <is>
          <t>prj-hardware-and-iot-103</t>
        </is>
      </c>
      <c r="D258" s="14" t="inlineStr">
        <is>
          <t>Hardware &amp; IoT</t>
        </is>
      </c>
      <c r="E258" s="13" t="inlineStr">
        <is>
          <t>us-central1</t>
        </is>
      </c>
      <c r="F258" s="14" t="inlineStr">
        <is>
          <t>Compute Engine</t>
        </is>
      </c>
      <c r="G258" s="14" t="inlineStr">
        <is>
          <t>N2 Standard 8 vCPU</t>
        </is>
      </c>
      <c r="H258" s="15" t="n">
        <v>6684.57</v>
      </c>
      <c r="I258" s="13" t="inlineStr">
        <is>
          <t>Active</t>
        </is>
      </c>
    </row>
    <row r="259">
      <c r="A259" s="13" t="inlineStr">
        <is>
          <t>TXN-1121</t>
        </is>
      </c>
      <c r="B259" s="13" t="inlineStr">
        <is>
          <t>2026-09-27</t>
        </is>
      </c>
      <c r="C259" s="13" t="inlineStr">
        <is>
          <t>prj-pro-services-102</t>
        </is>
      </c>
      <c r="D259" s="14" t="inlineStr">
        <is>
          <t>Pro Services</t>
        </is>
      </c>
      <c r="E259" s="13" t="inlineStr">
        <is>
          <t>europe-west1</t>
        </is>
      </c>
      <c r="F259" s="14" t="inlineStr">
        <is>
          <t>Cloud SQL</t>
        </is>
      </c>
      <c r="G259" s="14" t="inlineStr">
        <is>
          <t>PostgreSQL High Availability</t>
        </is>
      </c>
      <c r="H259" s="15" t="n">
        <v>5068.28</v>
      </c>
      <c r="I259" s="13" t="inlineStr">
        <is>
          <t>Active</t>
        </is>
      </c>
    </row>
    <row r="260">
      <c r="A260" s="13" t="inlineStr">
        <is>
          <t>TXN-1308</t>
        </is>
      </c>
      <c r="B260" s="13" t="inlineStr">
        <is>
          <t>2026-09-17</t>
        </is>
      </c>
      <c r="C260" s="13" t="inlineStr">
        <is>
          <t>prj-pro-services-103</t>
        </is>
      </c>
      <c r="D260" s="14" t="inlineStr">
        <is>
          <t>Pro Services</t>
        </is>
      </c>
      <c r="E260" s="13" t="inlineStr">
        <is>
          <t>southamerica-east1</t>
        </is>
      </c>
      <c r="F260" s="14" t="inlineStr">
        <is>
          <t>Cloud SQL</t>
        </is>
      </c>
      <c r="G260" s="14" t="inlineStr">
        <is>
          <t>PostgreSQL High Availability</t>
        </is>
      </c>
      <c r="H260" s="15" t="n">
        <v>2628.17</v>
      </c>
      <c r="I260" s="13" t="inlineStr">
        <is>
          <t>Active</t>
        </is>
      </c>
    </row>
    <row r="261">
      <c r="A261" s="13" t="inlineStr">
        <is>
          <t>TXN-1038</t>
        </is>
      </c>
      <c r="B261" s="13" t="inlineStr">
        <is>
          <t>2026-09-26</t>
        </is>
      </c>
      <c r="C261" s="13" t="inlineStr">
        <is>
          <t>prj-pro-services-101</t>
        </is>
      </c>
      <c r="D261" s="14" t="inlineStr">
        <is>
          <t>Pro Services</t>
        </is>
      </c>
      <c r="E261" s="13" t="inlineStr">
        <is>
          <t>europe-west1</t>
        </is>
      </c>
      <c r="F261" s="14" t="inlineStr">
        <is>
          <t>Compute Engine</t>
        </is>
      </c>
      <c r="G261" s="14" t="inlineStr">
        <is>
          <t>N2 Standard 8 vCPU</t>
        </is>
      </c>
      <c r="H261" s="15" t="n">
        <v>6135.93</v>
      </c>
      <c r="I261" s="13" t="inlineStr">
        <is>
          <t>Active</t>
        </is>
      </c>
    </row>
    <row r="262">
      <c r="A262" s="13" t="inlineStr">
        <is>
          <t>TXN-1174</t>
        </is>
      </c>
      <c r="B262" s="13" t="inlineStr">
        <is>
          <t>2026-09-08</t>
        </is>
      </c>
      <c r="C262" s="13" t="inlineStr">
        <is>
          <t>prj-e-commerce-engine-104</t>
        </is>
      </c>
      <c r="D262" s="14" t="inlineStr">
        <is>
          <t>E-Commerce Engine</t>
        </is>
      </c>
      <c r="E262" s="13" t="inlineStr">
        <is>
          <t>us-east4</t>
        </is>
      </c>
      <c r="F262" s="14" t="inlineStr">
        <is>
          <t>Cloud Storage</t>
        </is>
      </c>
      <c r="G262" s="14" t="inlineStr">
        <is>
          <t>Standard Storage GB</t>
        </is>
      </c>
      <c r="H262" s="15" t="n">
        <v>1313.48</v>
      </c>
      <c r="I262" s="13" t="inlineStr">
        <is>
          <t>Active</t>
        </is>
      </c>
    </row>
    <row r="263">
      <c r="A263" s="13" t="inlineStr">
        <is>
          <t>TXN-1231</t>
        </is>
      </c>
      <c r="B263" s="13" t="inlineStr">
        <is>
          <t>2026-09-12</t>
        </is>
      </c>
      <c r="C263" s="13" t="inlineStr">
        <is>
          <t>prj-global-logistics-105</t>
        </is>
      </c>
      <c r="D263" s="14" t="inlineStr">
        <is>
          <t>Global Logistics</t>
        </is>
      </c>
      <c r="E263" s="13" t="inlineStr">
        <is>
          <t>southamerica-east1</t>
        </is>
      </c>
      <c r="F263" s="14" t="inlineStr">
        <is>
          <t>Compute Engine</t>
        </is>
      </c>
      <c r="G263" s="14" t="inlineStr">
        <is>
          <t>N2 Standard 8 vCPU</t>
        </is>
      </c>
      <c r="H263" s="15" t="n">
        <v>7326.5</v>
      </c>
      <c r="I263" s="13" t="inlineStr">
        <is>
          <t>Active</t>
        </is>
      </c>
    </row>
    <row r="264">
      <c r="A264" s="13" t="inlineStr">
        <is>
          <t>TXN-1045</t>
        </is>
      </c>
      <c r="B264" s="13" t="inlineStr">
        <is>
          <t>2026-09-16</t>
        </is>
      </c>
      <c r="C264" s="13" t="inlineStr">
        <is>
          <t>prj-global-logistics-102</t>
        </is>
      </c>
      <c r="D264" s="14" t="inlineStr">
        <is>
          <t>Global Logistics</t>
        </is>
      </c>
      <c r="E264" s="13" t="inlineStr">
        <is>
          <t>us-east4</t>
        </is>
      </c>
      <c r="F264" s="14" t="inlineStr">
        <is>
          <t>Compute Engine</t>
        </is>
      </c>
      <c r="G264" s="14" t="inlineStr">
        <is>
          <t>N2 Standard 8 vCPU</t>
        </is>
      </c>
      <c r="H264" s="15" t="n">
        <v>5015.89</v>
      </c>
      <c r="I264" s="13" t="inlineStr">
        <is>
          <t>Active</t>
        </is>
      </c>
    </row>
    <row r="265">
      <c r="A265" s="13" t="inlineStr">
        <is>
          <t>TXN-1324</t>
        </is>
      </c>
      <c r="B265" s="13" t="inlineStr">
        <is>
          <t>2026-09-13</t>
        </is>
      </c>
      <c r="C265" s="13" t="inlineStr">
        <is>
          <t>prj-e-commerce-engine-103</t>
        </is>
      </c>
      <c r="D265" s="14" t="inlineStr">
        <is>
          <t>E-Commerce Engine</t>
        </is>
      </c>
      <c r="E265" s="13" t="inlineStr">
        <is>
          <t>us-central1</t>
        </is>
      </c>
      <c r="F265" s="14" t="inlineStr">
        <is>
          <t>BigQuery</t>
        </is>
      </c>
      <c r="G265" s="14" t="inlineStr">
        <is>
          <t>Analysis Slot Usage</t>
        </is>
      </c>
      <c r="H265" s="15" t="n">
        <v>7872.21</v>
      </c>
      <c r="I265" s="13" t="inlineStr">
        <is>
          <t>Active</t>
        </is>
      </c>
    </row>
    <row r="266">
      <c r="A266" s="13" t="inlineStr">
        <is>
          <t>TXN-1441</t>
        </is>
      </c>
      <c r="B266" s="13" t="inlineStr">
        <is>
          <t>2026-09-12</t>
        </is>
      </c>
      <c r="C266" s="13" t="inlineStr">
        <is>
          <t>prj-hardware-and-iot-105</t>
        </is>
      </c>
      <c r="D266" s="14" t="inlineStr"/>
      <c r="E266" s="13" t="inlineStr">
        <is>
          <t>us-east4</t>
        </is>
      </c>
      <c r="F266" s="14" t="inlineStr">
        <is>
          <t>Compute Engine</t>
        </is>
      </c>
      <c r="G266" s="14" t="inlineStr">
        <is>
          <t>N2 Standard 8 vCPU</t>
        </is>
      </c>
      <c r="H266" s="15" t="n">
        <v>6956.34</v>
      </c>
      <c r="I266" s="13" t="inlineStr">
        <is>
          <t>Active</t>
        </is>
      </c>
    </row>
    <row r="267">
      <c r="A267" s="13" t="inlineStr">
        <is>
          <t>TXN-1019</t>
        </is>
      </c>
      <c r="B267" s="13" t="inlineStr">
        <is>
          <t>2026-09-13</t>
        </is>
      </c>
      <c r="C267" s="13" t="inlineStr">
        <is>
          <t>prj-hardware-and-iot-105</t>
        </is>
      </c>
      <c r="D267" s="14" t="inlineStr">
        <is>
          <t>Hardware &amp; IoT</t>
        </is>
      </c>
      <c r="E267" s="13" t="inlineStr">
        <is>
          <t>europe-west1</t>
        </is>
      </c>
      <c r="F267" s="14" t="inlineStr">
        <is>
          <t>Cloud Storage</t>
        </is>
      </c>
      <c r="G267" s="14" t="inlineStr">
        <is>
          <t>Standard Storage GB</t>
        </is>
      </c>
      <c r="H267" s="15" t="n">
        <v>2483.14</v>
      </c>
      <c r="I267" s="13" t="inlineStr">
        <is>
          <t>Active</t>
        </is>
      </c>
    </row>
    <row r="268">
      <c r="A268" s="13" t="inlineStr">
        <is>
          <t>TXN-1032</t>
        </is>
      </c>
      <c r="B268" s="13" t="inlineStr">
        <is>
          <t>2026-09-21</t>
        </is>
      </c>
      <c r="C268" s="13" t="inlineStr">
        <is>
          <t>prj-hardware-and-iot-104</t>
        </is>
      </c>
      <c r="D268" s="14" t="inlineStr">
        <is>
          <t>Hardware &amp; IoT</t>
        </is>
      </c>
      <c r="E268" s="13" t="inlineStr">
        <is>
          <t>us-east4</t>
        </is>
      </c>
      <c r="F268" s="14" t="inlineStr">
        <is>
          <t>Google Kubernetes Engine</t>
        </is>
      </c>
      <c r="G268" s="14" t="inlineStr">
        <is>
          <t>Autopilot Pod Compute</t>
        </is>
      </c>
      <c r="H268" s="15" t="n">
        <v>5726.03</v>
      </c>
      <c r="I268" s="13" t="inlineStr">
        <is>
          <t>Active</t>
        </is>
      </c>
    </row>
    <row r="269">
      <c r="A269" s="13" t="inlineStr">
        <is>
          <t>TXN-1250</t>
        </is>
      </c>
      <c r="B269" s="13" t="inlineStr">
        <is>
          <t>2026-09-08</t>
        </is>
      </c>
      <c r="C269" s="13" t="inlineStr">
        <is>
          <t>prj-e-commerce-engine-101</t>
        </is>
      </c>
      <c r="D269" s="14" t="inlineStr">
        <is>
          <t>E-Commerce Engine</t>
        </is>
      </c>
      <c r="E269" s="13" t="inlineStr">
        <is>
          <t>southamerica-east1</t>
        </is>
      </c>
      <c r="F269" s="14" t="inlineStr">
        <is>
          <t>BigQuery</t>
        </is>
      </c>
      <c r="G269" s="14" t="inlineStr">
        <is>
          <t>Analysis Slot Usage</t>
        </is>
      </c>
      <c r="H269" s="15" t="n">
        <v>6183.89</v>
      </c>
      <c r="I269" s="13" t="inlineStr">
        <is>
          <t>Active</t>
        </is>
      </c>
    </row>
    <row r="270">
      <c r="A270" s="13" t="inlineStr">
        <is>
          <t>TXN-1074</t>
        </is>
      </c>
      <c r="B270" s="13" t="inlineStr">
        <is>
          <t>2026-09-25</t>
        </is>
      </c>
      <c r="C270" s="13" t="inlineStr">
        <is>
          <t>prj-hardware-and-iot-104</t>
        </is>
      </c>
      <c r="D270" s="14" t="inlineStr">
        <is>
          <t>Hardware &amp; IoT</t>
        </is>
      </c>
      <c r="E270" s="13" t="inlineStr">
        <is>
          <t>asia-east1</t>
        </is>
      </c>
      <c r="F270" s="14" t="inlineStr">
        <is>
          <t>Google Kubernetes Engine</t>
        </is>
      </c>
      <c r="G270" s="14" t="inlineStr">
        <is>
          <t>Autopilot Pod Compute</t>
        </is>
      </c>
      <c r="H270" s="15" t="n">
        <v>9077.110000000001</v>
      </c>
      <c r="I270" s="13" t="inlineStr">
        <is>
          <t>Active</t>
        </is>
      </c>
    </row>
    <row r="271">
      <c r="A271" s="13" t="inlineStr">
        <is>
          <t>TXN-1141</t>
        </is>
      </c>
      <c r="B271" s="13" t="inlineStr">
        <is>
          <t>2026-09-19</t>
        </is>
      </c>
      <c r="C271" s="13" t="inlineStr">
        <is>
          <t>prj-enterprise-saas-105</t>
        </is>
      </c>
      <c r="D271" s="14" t="inlineStr">
        <is>
          <t>Enterprise SaaS</t>
        </is>
      </c>
      <c r="E271" s="13" t="inlineStr">
        <is>
          <t>europe-west1</t>
        </is>
      </c>
      <c r="F271" s="14" t="inlineStr">
        <is>
          <t>Cloud Storage</t>
        </is>
      </c>
      <c r="G271" s="14" t="inlineStr">
        <is>
          <t>Standard Storage GB</t>
        </is>
      </c>
      <c r="H271" s="15" t="n">
        <v>3667.73</v>
      </c>
      <c r="I271" s="13" t="inlineStr">
        <is>
          <t>Active</t>
        </is>
      </c>
    </row>
    <row r="272">
      <c r="A272" s="13" t="inlineStr">
        <is>
          <t>TXN-1232</t>
        </is>
      </c>
      <c r="B272" s="13" t="inlineStr">
        <is>
          <t>2026-09-18</t>
        </is>
      </c>
      <c r="C272" s="13" t="inlineStr">
        <is>
          <t>prj-hardware-and-iot-103</t>
        </is>
      </c>
      <c r="D272" s="14" t="inlineStr">
        <is>
          <t>Hardware &amp; IoT</t>
        </is>
      </c>
      <c r="E272" s="13" t="inlineStr">
        <is>
          <t>us-central1</t>
        </is>
      </c>
      <c r="F272" s="14" t="inlineStr">
        <is>
          <t>Cloud SQL</t>
        </is>
      </c>
      <c r="G272" s="14" t="inlineStr">
        <is>
          <t>PostgreSQL High Availability</t>
        </is>
      </c>
      <c r="H272" s="15" t="n">
        <v>5557.63</v>
      </c>
      <c r="I272" s="13" t="inlineStr">
        <is>
          <t>Active</t>
        </is>
      </c>
    </row>
    <row r="273">
      <c r="A273" s="13" t="inlineStr">
        <is>
          <t>TXN-1211</t>
        </is>
      </c>
      <c r="B273" s="13" t="inlineStr">
        <is>
          <t>2026-09-21</t>
        </is>
      </c>
      <c r="C273" s="13" t="inlineStr">
        <is>
          <t>prj-hardware-and-iot-103</t>
        </is>
      </c>
      <c r="D273" s="14" t="inlineStr">
        <is>
          <t>Hardware &amp; IoT</t>
        </is>
      </c>
      <c r="E273" s="13" t="inlineStr">
        <is>
          <t>us-central1</t>
        </is>
      </c>
      <c r="F273" s="14" t="inlineStr">
        <is>
          <t>Cloud SQL</t>
        </is>
      </c>
      <c r="G273" s="14" t="inlineStr">
        <is>
          <t>PostgreSQL High Availability</t>
        </is>
      </c>
      <c r="H273" s="15" t="n">
        <v>3164.33</v>
      </c>
      <c r="I273" s="13" t="inlineStr">
        <is>
          <t>Active</t>
        </is>
      </c>
    </row>
    <row r="274">
      <c r="A274" s="13" t="inlineStr">
        <is>
          <t>TXN-1338</t>
        </is>
      </c>
      <c r="B274" s="13" t="inlineStr">
        <is>
          <t>2026-09-18</t>
        </is>
      </c>
      <c r="C274" s="13" t="inlineStr">
        <is>
          <t>prj-hardware-and-iot-105</t>
        </is>
      </c>
      <c r="D274" s="14" t="inlineStr">
        <is>
          <t>Hardware &amp; IoT</t>
        </is>
      </c>
      <c r="E274" s="13" t="inlineStr">
        <is>
          <t>europe-west1</t>
        </is>
      </c>
      <c r="F274" s="14" t="inlineStr">
        <is>
          <t>BigQuery</t>
        </is>
      </c>
      <c r="G274" s="14" t="inlineStr">
        <is>
          <t>Analysis Slot Usage</t>
        </is>
      </c>
      <c r="H274" s="15" t="n">
        <v>6934.13</v>
      </c>
      <c r="I274" s="13" t="inlineStr">
        <is>
          <t>Active</t>
        </is>
      </c>
    </row>
    <row r="275">
      <c r="A275" s="13" t="inlineStr">
        <is>
          <t>TXN-1358</t>
        </is>
      </c>
      <c r="B275" s="13" t="inlineStr">
        <is>
          <t>2026-09-25</t>
        </is>
      </c>
      <c r="C275" s="13" t="inlineStr">
        <is>
          <t>prj-e-commerce-engine-105</t>
        </is>
      </c>
      <c r="D275" s="14" t="inlineStr">
        <is>
          <t>E-Commerce Engine</t>
        </is>
      </c>
      <c r="E275" s="13" t="inlineStr">
        <is>
          <t>asia-east1</t>
        </is>
      </c>
      <c r="F275" s="14" t="inlineStr">
        <is>
          <t>Google Kubernetes Engine</t>
        </is>
      </c>
      <c r="G275" s="14" t="inlineStr">
        <is>
          <t>Autopilot Pod Compute</t>
        </is>
      </c>
      <c r="H275" s="15" t="n">
        <v>5712.87</v>
      </c>
      <c r="I275" s="13" t="inlineStr">
        <is>
          <t>Active</t>
        </is>
      </c>
    </row>
    <row r="276">
      <c r="A276" s="13" t="inlineStr">
        <is>
          <t>TXN-1445</t>
        </is>
      </c>
      <c r="B276" s="13" t="inlineStr">
        <is>
          <t>2026-09-22</t>
        </is>
      </c>
      <c r="C276" s="13" t="inlineStr">
        <is>
          <t>prj-hardware-and-iot-104</t>
        </is>
      </c>
      <c r="D276" s="14" t="inlineStr">
        <is>
          <t>Hardware &amp; IoT</t>
        </is>
      </c>
      <c r="E276" s="13" t="inlineStr">
        <is>
          <t>asia-east1</t>
        </is>
      </c>
      <c r="F276" s="14" t="inlineStr">
        <is>
          <t>Cloud SQL</t>
        </is>
      </c>
      <c r="G276" s="14" t="inlineStr">
        <is>
          <t>PostgreSQL High Availability</t>
        </is>
      </c>
      <c r="H276" s="15" t="n">
        <v>4112.9</v>
      </c>
      <c r="I276" s="13" t="inlineStr">
        <is>
          <t>Active</t>
        </is>
      </c>
    </row>
    <row r="277">
      <c r="A277" s="13" t="inlineStr">
        <is>
          <t>TXN-1415</t>
        </is>
      </c>
      <c r="B277" s="13" t="inlineStr">
        <is>
          <t>2026-09-28</t>
        </is>
      </c>
      <c r="C277" s="13" t="inlineStr">
        <is>
          <t>prj-hardware-and-iot-105</t>
        </is>
      </c>
      <c r="D277" s="14" t="inlineStr">
        <is>
          <t>Hardware &amp; IoT</t>
        </is>
      </c>
      <c r="E277" s="13" t="inlineStr">
        <is>
          <t>us-central1</t>
        </is>
      </c>
      <c r="F277" s="14" t="inlineStr">
        <is>
          <t>Cloud Storage</t>
        </is>
      </c>
      <c r="G277" s="14" t="inlineStr">
        <is>
          <t>Standard Storage GB</t>
        </is>
      </c>
      <c r="H277" s="15" t="n">
        <v>2221.95</v>
      </c>
      <c r="I277" s="13" t="inlineStr">
        <is>
          <t>Active</t>
        </is>
      </c>
    </row>
    <row r="278">
      <c r="A278" s="13" t="inlineStr">
        <is>
          <t>TXN-1332</t>
        </is>
      </c>
      <c r="B278" s="13" t="inlineStr">
        <is>
          <t>2026-09-24</t>
        </is>
      </c>
      <c r="C278" s="13" t="inlineStr">
        <is>
          <t>prj-pro-services-104</t>
        </is>
      </c>
      <c r="D278" s="14" t="inlineStr">
        <is>
          <t>Pro Services</t>
        </is>
      </c>
      <c r="E278" s="13" t="inlineStr">
        <is>
          <t>southamerica-east1</t>
        </is>
      </c>
      <c r="F278" s="14" t="inlineStr">
        <is>
          <t>Cloud SQL</t>
        </is>
      </c>
      <c r="G278" s="14" t="inlineStr">
        <is>
          <t>PostgreSQL High Availability</t>
        </is>
      </c>
      <c r="H278" s="15" t="n">
        <v>5381.69</v>
      </c>
      <c r="I278" s="13" t="inlineStr">
        <is>
          <t>Active</t>
        </is>
      </c>
    </row>
    <row r="279">
      <c r="A279" s="13" t="inlineStr">
        <is>
          <t>TXN-1138</t>
        </is>
      </c>
      <c r="B279" s="13" t="inlineStr">
        <is>
          <t>2026-09-23</t>
        </is>
      </c>
      <c r="C279" s="13" t="inlineStr">
        <is>
          <t>prj-global-logistics-101</t>
        </is>
      </c>
      <c r="D279" s="14" t="inlineStr">
        <is>
          <t>Global Logistics</t>
        </is>
      </c>
      <c r="E279" s="13" t="inlineStr">
        <is>
          <t>us-east4</t>
        </is>
      </c>
      <c r="F279" s="14" t="inlineStr">
        <is>
          <t>Compute Engine</t>
        </is>
      </c>
      <c r="G279" s="14" t="inlineStr">
        <is>
          <t>N2 Standard 8 vCPU</t>
        </is>
      </c>
      <c r="H279" s="15" t="n">
        <v>5796.26</v>
      </c>
      <c r="I279" s="13" t="inlineStr">
        <is>
          <t>Active</t>
        </is>
      </c>
    </row>
    <row r="280">
      <c r="A280" s="13" t="inlineStr">
        <is>
          <t>TXN-1027</t>
        </is>
      </c>
      <c r="B280" s="13" t="inlineStr">
        <is>
          <t>2026-09-16</t>
        </is>
      </c>
      <c r="C280" s="13" t="inlineStr">
        <is>
          <t>prj-enterprise-saas-103</t>
        </is>
      </c>
      <c r="D280" s="14" t="inlineStr">
        <is>
          <t>Enterprise SaaS</t>
        </is>
      </c>
      <c r="E280" s="13" t="inlineStr">
        <is>
          <t>us-central1</t>
        </is>
      </c>
      <c r="F280" s="14" t="inlineStr">
        <is>
          <t>BigQuery</t>
        </is>
      </c>
      <c r="G280" s="14" t="inlineStr">
        <is>
          <t>Analysis Slot Usage</t>
        </is>
      </c>
      <c r="H280" s="15" t="n">
        <v>5316.99</v>
      </c>
      <c r="I280" s="13" t="inlineStr">
        <is>
          <t>Active</t>
        </is>
      </c>
    </row>
    <row r="281">
      <c r="A281" s="13" t="inlineStr">
        <is>
          <t>TXN-1278</t>
        </is>
      </c>
      <c r="B281" s="13" t="inlineStr">
        <is>
          <t>2026-09-25</t>
        </is>
      </c>
      <c r="C281" s="13" t="inlineStr">
        <is>
          <t>prj-pro-services-102</t>
        </is>
      </c>
      <c r="D281" s="14" t="inlineStr">
        <is>
          <t>Pro Services</t>
        </is>
      </c>
      <c r="E281" s="13" t="inlineStr">
        <is>
          <t>europe-west1</t>
        </is>
      </c>
      <c r="F281" s="14" t="inlineStr">
        <is>
          <t>Cloud Storage</t>
        </is>
      </c>
      <c r="G281" s="14" t="inlineStr">
        <is>
          <t>Standard Storage GB</t>
        </is>
      </c>
      <c r="H281" s="15" t="n">
        <v>1602.86</v>
      </c>
      <c r="I281" s="13" t="inlineStr">
        <is>
          <t>Active</t>
        </is>
      </c>
    </row>
    <row r="282">
      <c r="A282" s="13" t="inlineStr">
        <is>
          <t>TXN-1442</t>
        </is>
      </c>
      <c r="B282" s="13" t="inlineStr">
        <is>
          <t>2026-09-24</t>
        </is>
      </c>
      <c r="C282" s="13" t="inlineStr">
        <is>
          <t>prj-global-logistics-105</t>
        </is>
      </c>
      <c r="D282" s="14" t="inlineStr">
        <is>
          <t>Global Logistics</t>
        </is>
      </c>
      <c r="E282" s="13" t="inlineStr">
        <is>
          <t>us-central1</t>
        </is>
      </c>
      <c r="F282" s="14" t="inlineStr">
        <is>
          <t>BigQuery</t>
        </is>
      </c>
      <c r="G282" s="14" t="inlineStr">
        <is>
          <t>Analysis Slot Usage</t>
        </is>
      </c>
      <c r="H282" s="15" t="n">
        <v>9141.17</v>
      </c>
      <c r="I282" s="13" t="inlineStr">
        <is>
          <t>Active</t>
        </is>
      </c>
    </row>
    <row r="283">
      <c r="A283" s="13" t="inlineStr">
        <is>
          <t>TXN-1305</t>
        </is>
      </c>
      <c r="B283" s="13" t="inlineStr">
        <is>
          <t>2026-09-12</t>
        </is>
      </c>
      <c r="C283" s="13" t="inlineStr">
        <is>
          <t>prj-e-commerce-engine-104</t>
        </is>
      </c>
      <c r="D283" s="14" t="inlineStr"/>
      <c r="E283" s="13" t="inlineStr">
        <is>
          <t>asia-east1</t>
        </is>
      </c>
      <c r="F283" s="14" t="inlineStr">
        <is>
          <t>Cloud Storage</t>
        </is>
      </c>
      <c r="G283" s="14" t="inlineStr">
        <is>
          <t>Standard Storage GB</t>
        </is>
      </c>
      <c r="H283" s="15" t="n">
        <v>3750.13</v>
      </c>
      <c r="I283" s="13" t="inlineStr">
        <is>
          <t>Active</t>
        </is>
      </c>
    </row>
    <row r="284">
      <c r="A284" s="13" t="inlineStr">
        <is>
          <t>TXN-1026</t>
        </is>
      </c>
      <c r="B284" s="13" t="inlineStr">
        <is>
          <t>2026-09-12</t>
        </is>
      </c>
      <c r="C284" s="13" t="inlineStr">
        <is>
          <t>prj-global-logistics-101</t>
        </is>
      </c>
      <c r="D284" s="14" t="inlineStr">
        <is>
          <t>Global Logistics</t>
        </is>
      </c>
      <c r="E284" s="13" t="inlineStr">
        <is>
          <t>southamerica-east1</t>
        </is>
      </c>
      <c r="F284" s="14" t="inlineStr">
        <is>
          <t>Google Kubernetes Engine</t>
        </is>
      </c>
      <c r="G284" s="14" t="inlineStr">
        <is>
          <t>Autopilot Pod Compute</t>
        </is>
      </c>
      <c r="H284" s="15" t="n">
        <v>8593.67</v>
      </c>
      <c r="I284" s="13" t="inlineStr">
        <is>
          <t>Active</t>
        </is>
      </c>
    </row>
    <row r="285">
      <c r="A285" s="13" t="inlineStr">
        <is>
          <t>TXN-1432</t>
        </is>
      </c>
      <c r="B285" s="13" t="inlineStr">
        <is>
          <t>2026-09-07</t>
        </is>
      </c>
      <c r="C285" s="13" t="inlineStr">
        <is>
          <t>prj-hardware-and-iot-103</t>
        </is>
      </c>
      <c r="D285" s="14" t="inlineStr">
        <is>
          <t>Hardware &amp; IoT</t>
        </is>
      </c>
      <c r="E285" s="13" t="inlineStr">
        <is>
          <t>us-central1</t>
        </is>
      </c>
      <c r="F285" s="14" t="inlineStr">
        <is>
          <t>Cloud SQL</t>
        </is>
      </c>
      <c r="G285" s="14" t="inlineStr">
        <is>
          <t>PostgreSQL High Availability</t>
        </is>
      </c>
      <c r="H285" s="15" t="n">
        <v>2823.62</v>
      </c>
      <c r="I285" s="13" t="inlineStr">
        <is>
          <t>Active</t>
        </is>
      </c>
    </row>
    <row r="286">
      <c r="A286" s="13" t="inlineStr">
        <is>
          <t>TXN-1021</t>
        </is>
      </c>
      <c r="B286" s="13" t="inlineStr">
        <is>
          <t>2026-09-14</t>
        </is>
      </c>
      <c r="C286" s="13" t="inlineStr">
        <is>
          <t>prj-e-commerce-engine-104</t>
        </is>
      </c>
      <c r="D286" s="14" t="inlineStr">
        <is>
          <t>E-Commerce Engine</t>
        </is>
      </c>
      <c r="E286" s="13" t="inlineStr">
        <is>
          <t>us-central1</t>
        </is>
      </c>
      <c r="F286" s="14" t="inlineStr">
        <is>
          <t>Cloud SQL</t>
        </is>
      </c>
      <c r="G286" s="14" t="inlineStr">
        <is>
          <t>PostgreSQL High Availability</t>
        </is>
      </c>
      <c r="H286" s="15" t="n">
        <v>4585.61</v>
      </c>
      <c r="I286" s="13" t="inlineStr">
        <is>
          <t>Active</t>
        </is>
      </c>
    </row>
    <row r="287">
      <c r="A287" s="13" t="inlineStr">
        <is>
          <t>TXN-1153</t>
        </is>
      </c>
      <c r="B287" s="13" t="inlineStr">
        <is>
          <t>2026-09-15</t>
        </is>
      </c>
      <c r="C287" s="13" t="inlineStr">
        <is>
          <t>prj-enterprise-saas-104</t>
        </is>
      </c>
      <c r="D287" s="14" t="inlineStr">
        <is>
          <t>Enterprise SaaS</t>
        </is>
      </c>
      <c r="E287" s="13" t="inlineStr">
        <is>
          <t>southamerica-east1</t>
        </is>
      </c>
      <c r="F287" s="14" t="inlineStr">
        <is>
          <t>Compute Engine</t>
        </is>
      </c>
      <c r="G287" s="14" t="inlineStr">
        <is>
          <t>N2 Standard 8 vCPU</t>
        </is>
      </c>
      <c r="H287" s="15" t="n">
        <v>6438.14</v>
      </c>
      <c r="I287" s="13" t="inlineStr">
        <is>
          <t>Active</t>
        </is>
      </c>
    </row>
    <row r="288">
      <c r="A288" s="13" t="inlineStr">
        <is>
          <t>TXN-1233</t>
        </is>
      </c>
      <c r="B288" s="13" t="inlineStr">
        <is>
          <t>2026-09-25</t>
        </is>
      </c>
      <c r="C288" s="13" t="inlineStr">
        <is>
          <t>prj-pro-services-105</t>
        </is>
      </c>
      <c r="D288" s="14" t="inlineStr">
        <is>
          <t>Pro Services</t>
        </is>
      </c>
      <c r="E288" s="13" t="inlineStr">
        <is>
          <t>us-central1</t>
        </is>
      </c>
      <c r="F288" s="14" t="inlineStr">
        <is>
          <t>BigQuery</t>
        </is>
      </c>
      <c r="G288" s="14" t="inlineStr">
        <is>
          <t>Analysis Slot Usage</t>
        </is>
      </c>
      <c r="H288" s="15" t="n">
        <v>5718.47</v>
      </c>
      <c r="I288" s="13" t="inlineStr">
        <is>
          <t>Active</t>
        </is>
      </c>
    </row>
    <row r="289">
      <c r="A289" s="13" t="inlineStr">
        <is>
          <t>TXN-1478</t>
        </is>
      </c>
      <c r="B289" s="13" t="inlineStr">
        <is>
          <t>2026-09-16</t>
        </is>
      </c>
      <c r="C289" s="13" t="inlineStr">
        <is>
          <t>prj-global-logistics-104</t>
        </is>
      </c>
      <c r="D289" s="14" t="inlineStr">
        <is>
          <t>Global Logistics</t>
        </is>
      </c>
      <c r="E289" s="13" t="inlineStr">
        <is>
          <t>us-central1</t>
        </is>
      </c>
      <c r="F289" s="14" t="inlineStr">
        <is>
          <t>Cloud Storage</t>
        </is>
      </c>
      <c r="G289" s="14" t="inlineStr">
        <is>
          <t>Standard Storage GB</t>
        </is>
      </c>
      <c r="H289" s="15" t="n">
        <v>1917.5</v>
      </c>
      <c r="I289" s="13" t="inlineStr">
        <is>
          <t>Active</t>
        </is>
      </c>
    </row>
    <row r="290">
      <c r="A290" s="13" t="inlineStr">
        <is>
          <t>TXN-1223</t>
        </is>
      </c>
      <c r="B290" s="13" t="inlineStr">
        <is>
          <t>2026-09-16</t>
        </is>
      </c>
      <c r="C290" s="13" t="inlineStr">
        <is>
          <t>prj-pro-services-103</t>
        </is>
      </c>
      <c r="D290" s="14" t="inlineStr">
        <is>
          <t>Pro Services</t>
        </is>
      </c>
      <c r="E290" s="13" t="inlineStr">
        <is>
          <t>us-central1</t>
        </is>
      </c>
      <c r="F290" s="14" t="inlineStr">
        <is>
          <t>Compute Engine</t>
        </is>
      </c>
      <c r="G290" s="14" t="inlineStr">
        <is>
          <t>N2 Standard 8 vCPU</t>
        </is>
      </c>
      <c r="H290" s="15" t="n">
        <v>5933.19</v>
      </c>
      <c r="I290" s="13" t="inlineStr">
        <is>
          <t>Active</t>
        </is>
      </c>
    </row>
    <row r="291">
      <c r="A291" s="13" t="inlineStr">
        <is>
          <t>TXN-1124</t>
        </is>
      </c>
      <c r="B291" s="13" t="inlineStr">
        <is>
          <t>2026-09-03</t>
        </is>
      </c>
      <c r="C291" s="13" t="inlineStr">
        <is>
          <t>prj-hardware-and-iot-104</t>
        </is>
      </c>
      <c r="D291" s="14" t="inlineStr">
        <is>
          <t>Hardware &amp; IoT</t>
        </is>
      </c>
      <c r="E291" s="13" t="inlineStr">
        <is>
          <t>us-east4</t>
        </is>
      </c>
      <c r="F291" s="14" t="inlineStr">
        <is>
          <t>Cloud Storage</t>
        </is>
      </c>
      <c r="G291" s="14" t="inlineStr">
        <is>
          <t>Standard Storage GB</t>
        </is>
      </c>
      <c r="H291" s="15" t="n">
        <v>2681.61</v>
      </c>
      <c r="I291" s="13" t="inlineStr">
        <is>
          <t>Active</t>
        </is>
      </c>
    </row>
    <row r="292">
      <c r="A292" s="13" t="inlineStr">
        <is>
          <t>TXN-1472</t>
        </is>
      </c>
      <c r="B292" s="13" t="inlineStr">
        <is>
          <t>2026-09-01</t>
        </is>
      </c>
      <c r="C292" s="13" t="inlineStr">
        <is>
          <t>prj-hardware-and-iot-103</t>
        </is>
      </c>
      <c r="D292" s="14" t="inlineStr">
        <is>
          <t>Hardware &amp; IoT</t>
        </is>
      </c>
      <c r="E292" s="13" t="inlineStr">
        <is>
          <t>us-east4</t>
        </is>
      </c>
      <c r="F292" s="14" t="inlineStr">
        <is>
          <t>BigQuery</t>
        </is>
      </c>
      <c r="G292" s="14" t="inlineStr">
        <is>
          <t>Analysis Slot Usage</t>
        </is>
      </c>
      <c r="H292" s="15" t="n">
        <v>4562.27</v>
      </c>
      <c r="I292" s="13" t="inlineStr">
        <is>
          <t>Active</t>
        </is>
      </c>
    </row>
    <row r="293">
      <c r="A293" s="13" t="inlineStr">
        <is>
          <t>TXN-1155</t>
        </is>
      </c>
      <c r="B293" s="13" t="inlineStr">
        <is>
          <t>2026-09-27</t>
        </is>
      </c>
      <c r="C293" s="13" t="inlineStr">
        <is>
          <t>prj-e-commerce-engine-103</t>
        </is>
      </c>
      <c r="D293" s="14" t="inlineStr">
        <is>
          <t>E-Commerce Engine</t>
        </is>
      </c>
      <c r="E293" s="13" t="inlineStr">
        <is>
          <t>southamerica-east1</t>
        </is>
      </c>
      <c r="F293" s="14" t="inlineStr">
        <is>
          <t>Compute Engine</t>
        </is>
      </c>
      <c r="G293" s="14" t="inlineStr">
        <is>
          <t>N2 Standard 8 vCPU</t>
        </is>
      </c>
      <c r="H293" s="15" t="n">
        <v>5804.99</v>
      </c>
      <c r="I293" s="13" t="inlineStr">
        <is>
          <t>Active</t>
        </is>
      </c>
    </row>
    <row r="294">
      <c r="A294" s="13" t="inlineStr">
        <is>
          <t>TXN-1154</t>
        </is>
      </c>
      <c r="B294" s="13" t="inlineStr">
        <is>
          <t>2026-09-20</t>
        </is>
      </c>
      <c r="C294" s="13" t="inlineStr">
        <is>
          <t>prj-hardware-and-iot-102</t>
        </is>
      </c>
      <c r="D294" s="14" t="inlineStr"/>
      <c r="E294" s="13" t="inlineStr">
        <is>
          <t>us-central1</t>
        </is>
      </c>
      <c r="F294" s="14" t="inlineStr">
        <is>
          <t>Compute Engine</t>
        </is>
      </c>
      <c r="G294" s="14" t="inlineStr">
        <is>
          <t>N2 Standard 8 vCPU</t>
        </is>
      </c>
      <c r="H294" s="15" t="n">
        <v>7347.64</v>
      </c>
      <c r="I294" s="13" t="inlineStr">
        <is>
          <t>Active</t>
        </is>
      </c>
    </row>
    <row r="295">
      <c r="A295" s="13" t="inlineStr">
        <is>
          <t>TXN-1163</t>
        </is>
      </c>
      <c r="B295" s="13" t="inlineStr">
        <is>
          <t>2026-09-25</t>
        </is>
      </c>
      <c r="C295" s="13" t="inlineStr">
        <is>
          <t>prj-enterprise-saas-105</t>
        </is>
      </c>
      <c r="D295" s="14" t="inlineStr">
        <is>
          <t>Enterprise SaaS</t>
        </is>
      </c>
      <c r="E295" s="13" t="inlineStr">
        <is>
          <t>europe-west1</t>
        </is>
      </c>
      <c r="F295" s="14" t="inlineStr">
        <is>
          <t>BigQuery</t>
        </is>
      </c>
      <c r="G295" s="14" t="inlineStr">
        <is>
          <t>Analysis Slot Usage</t>
        </is>
      </c>
      <c r="H295" s="15" t="n">
        <v>4720.57</v>
      </c>
      <c r="I295" s="13" t="inlineStr">
        <is>
          <t>Active</t>
        </is>
      </c>
    </row>
    <row r="296">
      <c r="A296" s="13" t="inlineStr">
        <is>
          <t>TXN-1285</t>
        </is>
      </c>
      <c r="B296" s="13" t="inlineStr">
        <is>
          <t>2026-09-15</t>
        </is>
      </c>
      <c r="C296" s="13" t="inlineStr">
        <is>
          <t>prj-hardware-and-iot-105</t>
        </is>
      </c>
      <c r="D296" s="14" t="inlineStr">
        <is>
          <t>Hardware &amp; IoT</t>
        </is>
      </c>
      <c r="E296" s="13" t="inlineStr">
        <is>
          <t>us-east4</t>
        </is>
      </c>
      <c r="F296" s="14" t="inlineStr">
        <is>
          <t>Google Kubernetes Engine</t>
        </is>
      </c>
      <c r="G296" s="14" t="inlineStr">
        <is>
          <t>Autopilot Pod Compute</t>
        </is>
      </c>
      <c r="H296" s="15" t="n">
        <v>7511.96</v>
      </c>
      <c r="I296" s="13" t="inlineStr">
        <is>
          <t>Active</t>
        </is>
      </c>
    </row>
    <row r="297">
      <c r="A297" s="13" t="inlineStr">
        <is>
          <t>TXN-1280</t>
        </is>
      </c>
      <c r="B297" s="13" t="inlineStr">
        <is>
          <t>2026-09-11</t>
        </is>
      </c>
      <c r="C297" s="13" t="inlineStr">
        <is>
          <t>prj-e-commerce-engine-104</t>
        </is>
      </c>
      <c r="D297" s="14" t="inlineStr">
        <is>
          <t>E-Commerce Engine</t>
        </is>
      </c>
      <c r="E297" s="13" t="inlineStr">
        <is>
          <t>europe-west1</t>
        </is>
      </c>
      <c r="F297" s="14" t="inlineStr">
        <is>
          <t>Google Kubernetes Engine</t>
        </is>
      </c>
      <c r="G297" s="14" t="inlineStr">
        <is>
          <t>Autopilot Pod Compute</t>
        </is>
      </c>
      <c r="H297" s="15" t="n">
        <v>5925.52</v>
      </c>
      <c r="I297" s="13" t="inlineStr">
        <is>
          <t>Active</t>
        </is>
      </c>
    </row>
    <row r="298">
      <c r="A298" s="13" t="inlineStr">
        <is>
          <t>TXN-1333</t>
        </is>
      </c>
      <c r="B298" s="13" t="inlineStr">
        <is>
          <t>2026-09-03</t>
        </is>
      </c>
      <c r="C298" s="13" t="inlineStr">
        <is>
          <t>prj-global-logistics-104</t>
        </is>
      </c>
      <c r="D298" s="14" t="inlineStr">
        <is>
          <t>Global Logistics</t>
        </is>
      </c>
      <c r="E298" s="13" t="inlineStr">
        <is>
          <t>asia-east1</t>
        </is>
      </c>
      <c r="F298" s="14" t="inlineStr">
        <is>
          <t>Compute Engine</t>
        </is>
      </c>
      <c r="G298" s="14" t="inlineStr">
        <is>
          <t>N2 Standard 8 vCPU</t>
        </is>
      </c>
      <c r="H298" s="15" t="n">
        <v>5363.33</v>
      </c>
      <c r="I298" s="13" t="inlineStr">
        <is>
          <t>Active</t>
        </is>
      </c>
    </row>
    <row r="299">
      <c r="A299" s="13" t="inlineStr">
        <is>
          <t>TXN-1066</t>
        </is>
      </c>
      <c r="B299" s="13" t="inlineStr">
        <is>
          <t>2026-09-05</t>
        </is>
      </c>
      <c r="C299" s="13" t="inlineStr">
        <is>
          <t>prj-pro-services-103</t>
        </is>
      </c>
      <c r="D299" s="14" t="inlineStr">
        <is>
          <t>Pro Services</t>
        </is>
      </c>
      <c r="E299" s="13" t="inlineStr">
        <is>
          <t>europe-west1</t>
        </is>
      </c>
      <c r="F299" s="14" t="inlineStr">
        <is>
          <t>Compute Engine</t>
        </is>
      </c>
      <c r="G299" s="14" t="inlineStr">
        <is>
          <t>N2 Standard 8 vCPU</t>
        </is>
      </c>
      <c r="H299" s="15" t="n">
        <v>4958.61</v>
      </c>
      <c r="I299" s="13" t="inlineStr">
        <is>
          <t>Active</t>
        </is>
      </c>
    </row>
    <row r="300">
      <c r="A300" s="13" t="inlineStr">
        <is>
          <t>TXN-1455</t>
        </is>
      </c>
      <c r="B300" s="13" t="inlineStr">
        <is>
          <t>2026-09-09</t>
        </is>
      </c>
      <c r="C300" s="13" t="inlineStr">
        <is>
          <t>prj-pro-services-104</t>
        </is>
      </c>
      <c r="D300" s="14" t="inlineStr">
        <is>
          <t>Pro Services</t>
        </is>
      </c>
      <c r="E300" s="13" t="inlineStr">
        <is>
          <t>us-central1</t>
        </is>
      </c>
      <c r="F300" s="14" t="inlineStr">
        <is>
          <t>BigQuery</t>
        </is>
      </c>
      <c r="G300" s="14" t="inlineStr">
        <is>
          <t>Analysis Slot Usage</t>
        </is>
      </c>
      <c r="H300" s="15" t="n">
        <v>6524.49</v>
      </c>
      <c r="I300" s="13" t="inlineStr">
        <is>
          <t>Active</t>
        </is>
      </c>
    </row>
    <row r="301">
      <c r="A301" s="13" t="inlineStr">
        <is>
          <t>TXN-1433</t>
        </is>
      </c>
      <c r="B301" s="13" t="inlineStr">
        <is>
          <t>2026-09-24</t>
        </is>
      </c>
      <c r="C301" s="13" t="inlineStr">
        <is>
          <t>prj-global-logistics-104</t>
        </is>
      </c>
      <c r="D301" s="14" t="inlineStr">
        <is>
          <t>Global Logistics</t>
        </is>
      </c>
      <c r="E301" s="13" t="inlineStr">
        <is>
          <t>us-central1</t>
        </is>
      </c>
      <c r="F301" s="14" t="inlineStr">
        <is>
          <t>BigQuery</t>
        </is>
      </c>
      <c r="G301" s="14" t="inlineStr">
        <is>
          <t>Analysis Slot Usage</t>
        </is>
      </c>
      <c r="H301" s="15" t="n">
        <v>7705.2</v>
      </c>
      <c r="I301" s="13" t="inlineStr">
        <is>
          <t>Active</t>
        </is>
      </c>
    </row>
    <row r="302">
      <c r="A302" s="13" t="inlineStr">
        <is>
          <t>TXN-1263</t>
        </is>
      </c>
      <c r="B302" s="13" t="inlineStr">
        <is>
          <t>2026-09-21</t>
        </is>
      </c>
      <c r="C302" s="13" t="inlineStr">
        <is>
          <t>prj-hardware-and-iot-101</t>
        </is>
      </c>
      <c r="D302" s="14" t="inlineStr">
        <is>
          <t>Hardware &amp; IoT</t>
        </is>
      </c>
      <c r="E302" s="13" t="inlineStr">
        <is>
          <t>asia-east1</t>
        </is>
      </c>
      <c r="F302" s="14" t="inlineStr">
        <is>
          <t>Google Kubernetes Engine</t>
        </is>
      </c>
      <c r="G302" s="14" t="inlineStr">
        <is>
          <t>Autopilot Pod Compute</t>
        </is>
      </c>
      <c r="H302" s="15" t="n">
        <v>7111.65</v>
      </c>
      <c r="I302" s="13" t="inlineStr">
        <is>
          <t>Active</t>
        </is>
      </c>
    </row>
    <row r="303">
      <c r="A303" s="13" t="inlineStr">
        <is>
          <t>TXN-1316</t>
        </is>
      </c>
      <c r="B303" s="13" t="inlineStr">
        <is>
          <t>2026-09-24</t>
        </is>
      </c>
      <c r="C303" s="13" t="inlineStr">
        <is>
          <t>prj-hardware-and-iot-103</t>
        </is>
      </c>
      <c r="D303" s="14" t="inlineStr">
        <is>
          <t>Hardware &amp; IoT</t>
        </is>
      </c>
      <c r="E303" s="13" t="inlineStr">
        <is>
          <t>southamerica-east1</t>
        </is>
      </c>
      <c r="F303" s="14" t="inlineStr">
        <is>
          <t>Cloud SQL</t>
        </is>
      </c>
      <c r="G303" s="14" t="inlineStr">
        <is>
          <t>PostgreSQL High Availability</t>
        </is>
      </c>
      <c r="H303" s="15" t="n">
        <v>4738.14</v>
      </c>
      <c r="I303" s="13" t="inlineStr">
        <is>
          <t>Active</t>
        </is>
      </c>
    </row>
    <row r="304">
      <c r="A304" s="13" t="inlineStr">
        <is>
          <t>TXN-1104</t>
        </is>
      </c>
      <c r="B304" s="13" t="inlineStr">
        <is>
          <t>2026-09-18</t>
        </is>
      </c>
      <c r="C304" s="13" t="inlineStr">
        <is>
          <t>prj-e-commerce-engine-102</t>
        </is>
      </c>
      <c r="D304" s="14" t="inlineStr">
        <is>
          <t>E-Commerce Engine</t>
        </is>
      </c>
      <c r="E304" s="13" t="inlineStr">
        <is>
          <t>europe-west1</t>
        </is>
      </c>
      <c r="F304" s="14" t="inlineStr">
        <is>
          <t>Cloud SQL</t>
        </is>
      </c>
      <c r="G304" s="14" t="inlineStr">
        <is>
          <t>PostgreSQL High Availability</t>
        </is>
      </c>
      <c r="H304" s="15" t="n">
        <v>3455.27</v>
      </c>
      <c r="I304" s="13" t="inlineStr">
        <is>
          <t>Active</t>
        </is>
      </c>
    </row>
    <row r="305">
      <c r="A305" s="13" t="inlineStr">
        <is>
          <t>TXN-1230</t>
        </is>
      </c>
      <c r="B305" s="13" t="inlineStr">
        <is>
          <t>2026-09-27</t>
        </is>
      </c>
      <c r="C305" s="13" t="inlineStr">
        <is>
          <t>prj-enterprise-saas-101</t>
        </is>
      </c>
      <c r="D305" s="14" t="inlineStr">
        <is>
          <t>Enterprise SaaS</t>
        </is>
      </c>
      <c r="E305" s="13" t="inlineStr">
        <is>
          <t>us-central1</t>
        </is>
      </c>
      <c r="F305" s="14" t="inlineStr">
        <is>
          <t>Cloud SQL</t>
        </is>
      </c>
      <c r="G305" s="14" t="inlineStr">
        <is>
          <t>PostgreSQL High Availability</t>
        </is>
      </c>
      <c r="H305" s="15" t="n">
        <v>5106.06</v>
      </c>
      <c r="I305" s="13" t="inlineStr">
        <is>
          <t>Active</t>
        </is>
      </c>
    </row>
    <row r="306">
      <c r="A306" s="13" t="inlineStr">
        <is>
          <t>TXN-1013</t>
        </is>
      </c>
      <c r="B306" s="13" t="inlineStr">
        <is>
          <t>2026-09-08</t>
        </is>
      </c>
      <c r="C306" s="13" t="inlineStr">
        <is>
          <t>prj-global-logistics-103</t>
        </is>
      </c>
      <c r="D306" s="14" t="inlineStr">
        <is>
          <t>Global Logistics</t>
        </is>
      </c>
      <c r="E306" s="13" t="inlineStr">
        <is>
          <t>us-east4</t>
        </is>
      </c>
      <c r="F306" s="14" t="inlineStr">
        <is>
          <t>Cloud SQL</t>
        </is>
      </c>
      <c r="G306" s="14" t="inlineStr">
        <is>
          <t>PostgreSQL High Availability</t>
        </is>
      </c>
      <c r="H306" s="15" t="n">
        <v>5963.33</v>
      </c>
      <c r="I306" s="13" t="inlineStr">
        <is>
          <t>Active</t>
        </is>
      </c>
    </row>
    <row r="307">
      <c r="A307" s="13" t="inlineStr">
        <is>
          <t>TXN-1447</t>
        </is>
      </c>
      <c r="B307" s="13" t="inlineStr">
        <is>
          <t>2026-09-30</t>
        </is>
      </c>
      <c r="C307" s="13" t="inlineStr">
        <is>
          <t>prj-e-commerce-engine-101</t>
        </is>
      </c>
      <c r="D307" s="14" t="inlineStr">
        <is>
          <t>E-Commerce Engine</t>
        </is>
      </c>
      <c r="E307" s="13" t="inlineStr">
        <is>
          <t>us-central1</t>
        </is>
      </c>
      <c r="F307" s="14" t="inlineStr">
        <is>
          <t>Google Kubernetes Engine</t>
        </is>
      </c>
      <c r="G307" s="14" t="inlineStr">
        <is>
          <t>Autopilot Pod Compute</t>
        </is>
      </c>
      <c r="H307" s="15" t="n">
        <v>10034.41</v>
      </c>
      <c r="I307" s="13" t="inlineStr">
        <is>
          <t>Active</t>
        </is>
      </c>
    </row>
    <row r="308">
      <c r="A308" s="13" t="inlineStr">
        <is>
          <t>TXN-1063</t>
        </is>
      </c>
      <c r="B308" s="13" t="inlineStr">
        <is>
          <t>2026-09-11</t>
        </is>
      </c>
      <c r="C308" s="13" t="inlineStr">
        <is>
          <t>prj-global-logistics-104</t>
        </is>
      </c>
      <c r="D308" s="14" t="inlineStr">
        <is>
          <t>Global Logistics</t>
        </is>
      </c>
      <c r="E308" s="13" t="inlineStr">
        <is>
          <t>asia-east1</t>
        </is>
      </c>
      <c r="F308" s="14" t="inlineStr">
        <is>
          <t>Cloud Storage</t>
        </is>
      </c>
      <c r="G308" s="14" t="inlineStr">
        <is>
          <t>Standard Storage GB</t>
        </is>
      </c>
      <c r="H308" s="15" t="n">
        <v>2634.37</v>
      </c>
      <c r="I308" s="13" t="inlineStr">
        <is>
          <t>Active</t>
        </is>
      </c>
    </row>
    <row r="309">
      <c r="A309" s="13" t="inlineStr">
        <is>
          <t>TXN-1176</t>
        </is>
      </c>
      <c r="B309" s="13" t="inlineStr">
        <is>
          <t>2026-09-02</t>
        </is>
      </c>
      <c r="C309" s="13" t="inlineStr">
        <is>
          <t>prj-global-logistics-103</t>
        </is>
      </c>
      <c r="D309" s="14" t="inlineStr">
        <is>
          <t>Global Logistics</t>
        </is>
      </c>
      <c r="E309" s="13" t="inlineStr">
        <is>
          <t>southamerica-east1</t>
        </is>
      </c>
      <c r="F309" s="14" t="inlineStr">
        <is>
          <t>Google Kubernetes Engine</t>
        </is>
      </c>
      <c r="G309" s="14" t="inlineStr">
        <is>
          <t>Autopilot Pod Compute</t>
        </is>
      </c>
      <c r="H309" s="15" t="n">
        <v>10218.2</v>
      </c>
      <c r="I309" s="13" t="inlineStr">
        <is>
          <t>Active</t>
        </is>
      </c>
    </row>
    <row r="310">
      <c r="A310" s="13" t="inlineStr">
        <is>
          <t>TXN-1075</t>
        </is>
      </c>
      <c r="B310" s="13" t="inlineStr">
        <is>
          <t>2026-09-27</t>
        </is>
      </c>
      <c r="C310" s="13" t="inlineStr">
        <is>
          <t>prj-e-commerce-engine-101</t>
        </is>
      </c>
      <c r="D310" s="14" t="inlineStr">
        <is>
          <t>E-Commerce Engine</t>
        </is>
      </c>
      <c r="E310" s="13" t="inlineStr">
        <is>
          <t>asia-east1</t>
        </is>
      </c>
      <c r="F310" s="14" t="inlineStr">
        <is>
          <t>Compute Engine</t>
        </is>
      </c>
      <c r="G310" s="14" t="inlineStr">
        <is>
          <t>N2 Standard 8 vCPU</t>
        </is>
      </c>
      <c r="H310" s="15" t="n">
        <v>7008.15</v>
      </c>
      <c r="I310" s="13" t="inlineStr">
        <is>
          <t>Active</t>
        </is>
      </c>
    </row>
    <row r="311">
      <c r="A311" s="13" t="inlineStr">
        <is>
          <t>TXN-1062</t>
        </is>
      </c>
      <c r="B311" s="13" t="inlineStr">
        <is>
          <t>2026-09-29</t>
        </is>
      </c>
      <c r="C311" s="13" t="inlineStr">
        <is>
          <t>prj-enterprise-saas-103</t>
        </is>
      </c>
      <c r="D311" s="14" t="inlineStr">
        <is>
          <t>Enterprise SaaS</t>
        </is>
      </c>
      <c r="E311" s="13" t="inlineStr">
        <is>
          <t>us-central1</t>
        </is>
      </c>
      <c r="F311" s="14" t="inlineStr">
        <is>
          <t>Cloud SQL</t>
        </is>
      </c>
      <c r="G311" s="14" t="inlineStr">
        <is>
          <t>PostgreSQL High Availability</t>
        </is>
      </c>
      <c r="H311" s="15" t="n">
        <v>2654.3</v>
      </c>
      <c r="I311" s="13" t="inlineStr">
        <is>
          <t>Active</t>
        </is>
      </c>
    </row>
    <row r="312">
      <c r="A312" s="13" t="inlineStr">
        <is>
          <t>TXN-1076</t>
        </is>
      </c>
      <c r="B312" s="13" t="inlineStr">
        <is>
          <t>2026-09-09</t>
        </is>
      </c>
      <c r="C312" s="13" t="inlineStr">
        <is>
          <t>prj-global-logistics-101</t>
        </is>
      </c>
      <c r="D312" s="14" t="inlineStr">
        <is>
          <t>Global Logistics</t>
        </is>
      </c>
      <c r="E312" s="13" t="inlineStr">
        <is>
          <t>southamerica-east1</t>
        </is>
      </c>
      <c r="F312" s="14" t="inlineStr">
        <is>
          <t>BigQuery</t>
        </is>
      </c>
      <c r="G312" s="14" t="inlineStr">
        <is>
          <t>Analysis Slot Usage</t>
        </is>
      </c>
      <c r="H312" s="15" t="n">
        <v>4596.21</v>
      </c>
      <c r="I312" s="13" t="inlineStr">
        <is>
          <t>Active</t>
        </is>
      </c>
    </row>
    <row r="313">
      <c r="A313" s="13" t="inlineStr">
        <is>
          <t>TXN-1428</t>
        </is>
      </c>
      <c r="B313" s="13" t="inlineStr">
        <is>
          <t>2026-09-12</t>
        </is>
      </c>
      <c r="C313" s="13" t="inlineStr">
        <is>
          <t>prj-pro-services-104</t>
        </is>
      </c>
      <c r="D313" s="14" t="inlineStr">
        <is>
          <t>Pro Services</t>
        </is>
      </c>
      <c r="E313" s="13" t="inlineStr">
        <is>
          <t>southamerica-east1</t>
        </is>
      </c>
      <c r="F313" s="14" t="inlineStr">
        <is>
          <t>BigQuery</t>
        </is>
      </c>
      <c r="G313" s="14" t="inlineStr">
        <is>
          <t>Analysis Slot Usage</t>
        </is>
      </c>
      <c r="H313" s="15" t="n">
        <v>6245.43</v>
      </c>
      <c r="I313" s="13" t="inlineStr">
        <is>
          <t>Active</t>
        </is>
      </c>
    </row>
    <row r="314">
      <c r="A314" s="13" t="inlineStr">
        <is>
          <t>TXN-1410</t>
        </is>
      </c>
      <c r="B314" s="13" t="inlineStr">
        <is>
          <t>2026-09-24</t>
        </is>
      </c>
      <c r="C314" s="13" t="inlineStr">
        <is>
          <t>prj-global-logistics-101</t>
        </is>
      </c>
      <c r="D314" s="14" t="inlineStr">
        <is>
          <t>Global Logistics</t>
        </is>
      </c>
      <c r="E314" s="13" t="inlineStr">
        <is>
          <t>southamerica-east1</t>
        </is>
      </c>
      <c r="F314" s="14" t="inlineStr">
        <is>
          <t>Compute Engine</t>
        </is>
      </c>
      <c r="G314" s="14" t="inlineStr">
        <is>
          <t>N2 Standard 8 vCPU</t>
        </is>
      </c>
      <c r="H314" s="15" t="n">
        <v>5194.79</v>
      </c>
      <c r="I314" s="13" t="inlineStr">
        <is>
          <t>Active</t>
        </is>
      </c>
    </row>
    <row r="315">
      <c r="A315" s="13" t="inlineStr">
        <is>
          <t>TXN-1265</t>
        </is>
      </c>
      <c r="B315" s="13" t="inlineStr">
        <is>
          <t>2026-09-27</t>
        </is>
      </c>
      <c r="C315" s="13" t="inlineStr">
        <is>
          <t>prj-hardware-and-iot-105</t>
        </is>
      </c>
      <c r="D315" s="14" t="inlineStr">
        <is>
          <t>Hardware &amp; IoT</t>
        </is>
      </c>
      <c r="E315" s="13" t="inlineStr">
        <is>
          <t>us-central1</t>
        </is>
      </c>
      <c r="F315" s="14" t="inlineStr">
        <is>
          <t>Compute Engine</t>
        </is>
      </c>
      <c r="G315" s="14" t="inlineStr">
        <is>
          <t>N2 Standard 8 vCPU</t>
        </is>
      </c>
      <c r="H315" s="15" t="n">
        <v>5876.32</v>
      </c>
      <c r="I315" s="13" t="inlineStr">
        <is>
          <t>Active</t>
        </is>
      </c>
    </row>
    <row r="316">
      <c r="A316" s="13" t="inlineStr">
        <is>
          <t>TXN-1113</t>
        </is>
      </c>
      <c r="B316" s="13" t="inlineStr">
        <is>
          <t>2026-09-20</t>
        </is>
      </c>
      <c r="C316" s="13" t="inlineStr">
        <is>
          <t>prj-global-logistics-104</t>
        </is>
      </c>
      <c r="D316" s="14" t="inlineStr">
        <is>
          <t>Global Logistics</t>
        </is>
      </c>
      <c r="E316" s="13" t="inlineStr">
        <is>
          <t>europe-west1</t>
        </is>
      </c>
      <c r="F316" s="14" t="inlineStr">
        <is>
          <t>Cloud Storage</t>
        </is>
      </c>
      <c r="G316" s="14" t="inlineStr">
        <is>
          <t>Standard Storage GB</t>
        </is>
      </c>
      <c r="H316" s="15" t="n">
        <v>2940.59</v>
      </c>
      <c r="I316" s="13" t="inlineStr">
        <is>
          <t>Active</t>
        </is>
      </c>
    </row>
    <row r="317">
      <c r="A317" s="13" t="inlineStr">
        <is>
          <t>TXN-1028</t>
        </is>
      </c>
      <c r="B317" s="13" t="inlineStr">
        <is>
          <t>2026-09-08</t>
        </is>
      </c>
      <c r="C317" s="13" t="inlineStr">
        <is>
          <t>prj-e-commerce-engine-104</t>
        </is>
      </c>
      <c r="D317" s="14" t="inlineStr">
        <is>
          <t>E-Commerce Engine</t>
        </is>
      </c>
      <c r="E317" s="13" t="inlineStr">
        <is>
          <t>us-central1</t>
        </is>
      </c>
      <c r="F317" s="14" t="inlineStr">
        <is>
          <t>Compute Engine</t>
        </is>
      </c>
      <c r="G317" s="14" t="inlineStr">
        <is>
          <t>N2 Standard 8 vCPU</t>
        </is>
      </c>
      <c r="H317" s="15" t="n">
        <v>6764.09</v>
      </c>
      <c r="I317" s="13" t="inlineStr">
        <is>
          <t>Active</t>
        </is>
      </c>
    </row>
    <row r="318">
      <c r="A318" s="13" t="inlineStr">
        <is>
          <t>TXN-1206</t>
        </is>
      </c>
      <c r="B318" s="13" t="inlineStr">
        <is>
          <t>2026-09-04</t>
        </is>
      </c>
      <c r="C318" s="13" t="inlineStr">
        <is>
          <t>prj-enterprise-saas-102</t>
        </is>
      </c>
      <c r="D318" s="14" t="inlineStr">
        <is>
          <t>Enterprise SaaS</t>
        </is>
      </c>
      <c r="E318" s="13" t="inlineStr">
        <is>
          <t>europe-west1</t>
        </is>
      </c>
      <c r="F318" s="14" t="inlineStr">
        <is>
          <t>Google Kubernetes Engine</t>
        </is>
      </c>
      <c r="G318" s="14" t="inlineStr">
        <is>
          <t>Autopilot Pod Compute</t>
        </is>
      </c>
      <c r="H318" s="15" t="n">
        <v>7331.87</v>
      </c>
      <c r="I318" s="13" t="inlineStr">
        <is>
          <t>Active</t>
        </is>
      </c>
    </row>
    <row r="319">
      <c r="A319" s="13" t="inlineStr">
        <is>
          <t>TXN-1457</t>
        </is>
      </c>
      <c r="B319" s="13" t="inlineStr">
        <is>
          <t>2026-09-13</t>
        </is>
      </c>
      <c r="C319" s="13" t="inlineStr">
        <is>
          <t>prj-pro-services-101</t>
        </is>
      </c>
      <c r="D319" s="14" t="inlineStr">
        <is>
          <t>Pro Services</t>
        </is>
      </c>
      <c r="E319" s="13" t="inlineStr">
        <is>
          <t>southamerica-east1</t>
        </is>
      </c>
      <c r="F319" s="14" t="inlineStr">
        <is>
          <t>Cloud SQL</t>
        </is>
      </c>
      <c r="G319" s="14" t="inlineStr">
        <is>
          <t>PostgreSQL High Availability</t>
        </is>
      </c>
      <c r="H319" s="15" t="n">
        <v>4728.62</v>
      </c>
      <c r="I319" s="13" t="inlineStr">
        <is>
          <t>Active</t>
        </is>
      </c>
    </row>
    <row r="320">
      <c r="A320" s="13" t="inlineStr">
        <is>
          <t>TXN-1187</t>
        </is>
      </c>
      <c r="B320" s="13" t="inlineStr">
        <is>
          <t>2026-09-05</t>
        </is>
      </c>
      <c r="C320" s="13" t="inlineStr">
        <is>
          <t>prj-global-logistics-104</t>
        </is>
      </c>
      <c r="D320" s="14" t="inlineStr">
        <is>
          <t>Global Logistics</t>
        </is>
      </c>
      <c r="E320" s="13" t="inlineStr">
        <is>
          <t>us-east4</t>
        </is>
      </c>
      <c r="F320" s="14" t="inlineStr">
        <is>
          <t>BigQuery</t>
        </is>
      </c>
      <c r="G320" s="14" t="inlineStr">
        <is>
          <t>Analysis Slot Usage</t>
        </is>
      </c>
      <c r="H320" s="15" t="n">
        <v>5404.3</v>
      </c>
      <c r="I320" s="13" t="inlineStr">
        <is>
          <t>Active</t>
        </is>
      </c>
    </row>
    <row r="321">
      <c r="A321" s="13" t="inlineStr">
        <is>
          <t>TXN-1425</t>
        </is>
      </c>
      <c r="B321" s="13" t="inlineStr">
        <is>
          <t>2026-09-27</t>
        </is>
      </c>
      <c r="C321" s="13" t="inlineStr">
        <is>
          <t>prj-hardware-and-iot-102</t>
        </is>
      </c>
      <c r="D321" s="14" t="inlineStr">
        <is>
          <t>Hardware &amp; IoT</t>
        </is>
      </c>
      <c r="E321" s="13" t="inlineStr">
        <is>
          <t>europe-west1</t>
        </is>
      </c>
      <c r="F321" s="14" t="inlineStr">
        <is>
          <t>BigQuery</t>
        </is>
      </c>
      <c r="G321" s="14" t="inlineStr">
        <is>
          <t>Analysis Slot Usage</t>
        </is>
      </c>
      <c r="H321" s="15" t="n">
        <v>9421.33</v>
      </c>
      <c r="I321" s="13" t="inlineStr">
        <is>
          <t>Active</t>
        </is>
      </c>
    </row>
    <row r="322">
      <c r="A322" s="13" t="inlineStr">
        <is>
          <t>TXN-1480</t>
        </is>
      </c>
      <c r="B322" s="13" t="inlineStr">
        <is>
          <t>2026-09-24</t>
        </is>
      </c>
      <c r="C322" s="13" t="inlineStr">
        <is>
          <t>prj-pro-services-102</t>
        </is>
      </c>
      <c r="D322" s="14" t="inlineStr">
        <is>
          <t>Pro Services</t>
        </is>
      </c>
      <c r="E322" s="13" t="inlineStr">
        <is>
          <t>southamerica-east1</t>
        </is>
      </c>
      <c r="F322" s="14" t="inlineStr">
        <is>
          <t>Google Kubernetes Engine</t>
        </is>
      </c>
      <c r="G322" s="14" t="inlineStr">
        <is>
          <t>Autopilot Pod Compute</t>
        </is>
      </c>
      <c r="H322" s="15" t="n">
        <v>7747.17</v>
      </c>
      <c r="I322" s="13" t="inlineStr">
        <is>
          <t>Active</t>
        </is>
      </c>
    </row>
    <row r="323">
      <c r="A323" s="13" t="inlineStr">
        <is>
          <t>TXN-1069</t>
        </is>
      </c>
      <c r="B323" s="13" t="inlineStr">
        <is>
          <t>2026-09-08</t>
        </is>
      </c>
      <c r="C323" s="13" t="inlineStr">
        <is>
          <t>prj-global-logistics-101</t>
        </is>
      </c>
      <c r="D323" s="14" t="inlineStr">
        <is>
          <t>Global Logistics</t>
        </is>
      </c>
      <c r="E323" s="13" t="inlineStr">
        <is>
          <t>europe-west1</t>
        </is>
      </c>
      <c r="F323" s="14" t="inlineStr">
        <is>
          <t>Cloud SQL</t>
        </is>
      </c>
      <c r="G323" s="14" t="inlineStr">
        <is>
          <t>PostgreSQL High Availability</t>
        </is>
      </c>
      <c r="H323" s="15" t="n">
        <v>3127.76</v>
      </c>
      <c r="I323" s="13" t="inlineStr">
        <is>
          <t>Active</t>
        </is>
      </c>
    </row>
    <row r="324">
      <c r="A324" s="13" t="inlineStr">
        <is>
          <t>TXN-1010</t>
        </is>
      </c>
      <c r="B324" s="13" t="inlineStr">
        <is>
          <t>2026-09-02</t>
        </is>
      </c>
      <c r="C324" s="13" t="inlineStr">
        <is>
          <t>prj-global-logistics-102</t>
        </is>
      </c>
      <c r="D324" s="14" t="inlineStr">
        <is>
          <t>Global Logistics</t>
        </is>
      </c>
      <c r="E324" s="13" t="inlineStr">
        <is>
          <t>asia-east1</t>
        </is>
      </c>
      <c r="F324" s="14" t="inlineStr">
        <is>
          <t>Compute Engine</t>
        </is>
      </c>
      <c r="G324" s="14" t="inlineStr">
        <is>
          <t>N2 Standard 8 vCPU</t>
        </is>
      </c>
      <c r="H324" s="15" t="n">
        <v>6965.93</v>
      </c>
      <c r="I324" s="13" t="inlineStr">
        <is>
          <t>Active</t>
        </is>
      </c>
    </row>
    <row r="325">
      <c r="A325" s="13" t="inlineStr">
        <is>
          <t>TXN-1172</t>
        </is>
      </c>
      <c r="B325" s="13" t="inlineStr">
        <is>
          <t>2026-09-15</t>
        </is>
      </c>
      <c r="C325" s="13" t="inlineStr">
        <is>
          <t>prj-e-commerce-engine-103</t>
        </is>
      </c>
      <c r="D325" s="14" t="inlineStr"/>
      <c r="E325" s="13" t="inlineStr">
        <is>
          <t>us-east4</t>
        </is>
      </c>
      <c r="F325" s="14" t="inlineStr">
        <is>
          <t>BigQuery</t>
        </is>
      </c>
      <c r="G325" s="14" t="inlineStr">
        <is>
          <t>Analysis Slot Usage</t>
        </is>
      </c>
      <c r="H325" s="15" t="n">
        <v>7035.55</v>
      </c>
      <c r="I325" s="13" t="inlineStr">
        <is>
          <t>Active</t>
        </is>
      </c>
    </row>
    <row r="326">
      <c r="A326" s="13" t="inlineStr">
        <is>
          <t>TXN-1162</t>
        </is>
      </c>
      <c r="B326" s="13" t="inlineStr">
        <is>
          <t>2026-09-07</t>
        </is>
      </c>
      <c r="C326" s="13" t="inlineStr">
        <is>
          <t>prj-e-commerce-engine-104</t>
        </is>
      </c>
      <c r="D326" s="14" t="inlineStr">
        <is>
          <t>E-Commerce Engine</t>
        </is>
      </c>
      <c r="E326" s="13" t="inlineStr">
        <is>
          <t>asia-east1</t>
        </is>
      </c>
      <c r="F326" s="14" t="inlineStr">
        <is>
          <t>Google Kubernetes Engine</t>
        </is>
      </c>
      <c r="G326" s="14" t="inlineStr">
        <is>
          <t>Autopilot Pod Compute</t>
        </is>
      </c>
      <c r="H326" s="15" t="n">
        <v>8752.450000000001</v>
      </c>
      <c r="I326" s="13" t="inlineStr">
        <is>
          <t>Active</t>
        </is>
      </c>
    </row>
    <row r="327">
      <c r="A327" s="13" t="inlineStr">
        <is>
          <t>TXN-1275</t>
        </is>
      </c>
      <c r="B327" s="13" t="inlineStr">
        <is>
          <t>2026-09-23</t>
        </is>
      </c>
      <c r="C327" s="13" t="inlineStr">
        <is>
          <t>prj-enterprise-saas-104</t>
        </is>
      </c>
      <c r="D327" s="14" t="inlineStr">
        <is>
          <t>Enterprise SaaS</t>
        </is>
      </c>
      <c r="E327" s="13" t="inlineStr">
        <is>
          <t>asia-east1</t>
        </is>
      </c>
      <c r="F327" s="14" t="inlineStr">
        <is>
          <t>Google Kubernetes Engine</t>
        </is>
      </c>
      <c r="G327" s="14" t="inlineStr">
        <is>
          <t>Autopilot Pod Compute</t>
        </is>
      </c>
      <c r="H327" s="15" t="n">
        <v>8860.959999999999</v>
      </c>
      <c r="I327" s="13" t="inlineStr">
        <is>
          <t>Active</t>
        </is>
      </c>
    </row>
    <row r="328">
      <c r="A328" s="13" t="inlineStr">
        <is>
          <t>TXN-1304</t>
        </is>
      </c>
      <c r="B328" s="13" t="inlineStr">
        <is>
          <t>2026-09-12</t>
        </is>
      </c>
      <c r="C328" s="13" t="inlineStr">
        <is>
          <t>prj-global-logistics-103</t>
        </is>
      </c>
      <c r="D328" s="14" t="inlineStr">
        <is>
          <t>Global Logistics</t>
        </is>
      </c>
      <c r="E328" s="13" t="inlineStr">
        <is>
          <t>us-central1</t>
        </is>
      </c>
      <c r="F328" s="14" t="inlineStr">
        <is>
          <t>Google Kubernetes Engine</t>
        </is>
      </c>
      <c r="G328" s="14" t="inlineStr">
        <is>
          <t>Autopilot Pod Compute</t>
        </is>
      </c>
      <c r="H328" s="15" t="n">
        <v>5800.46</v>
      </c>
      <c r="I328" s="13" t="inlineStr">
        <is>
          <t>Active</t>
        </is>
      </c>
    </row>
    <row r="329">
      <c r="A329" s="13" t="inlineStr">
        <is>
          <t>TXN-1283</t>
        </is>
      </c>
      <c r="B329" s="13" t="inlineStr">
        <is>
          <t>2026-09-26</t>
        </is>
      </c>
      <c r="C329" s="13" t="inlineStr">
        <is>
          <t>prj-pro-services-102</t>
        </is>
      </c>
      <c r="D329" s="14" t="inlineStr">
        <is>
          <t>Pro Services</t>
        </is>
      </c>
      <c r="E329" s="13" t="inlineStr">
        <is>
          <t>europe-west1</t>
        </is>
      </c>
      <c r="F329" s="14" t="inlineStr">
        <is>
          <t>Google Kubernetes Engine</t>
        </is>
      </c>
      <c r="G329" s="14" t="inlineStr">
        <is>
          <t>Autopilot Pod Compute</t>
        </is>
      </c>
      <c r="H329" s="15" t="n">
        <v>6856.81</v>
      </c>
      <c r="I329" s="13" t="inlineStr">
        <is>
          <t>Active</t>
        </is>
      </c>
    </row>
    <row r="330">
      <c r="A330" s="13" t="inlineStr">
        <is>
          <t>TXN-1101</t>
        </is>
      </c>
      <c r="B330" s="13" t="inlineStr">
        <is>
          <t>2026-09-15</t>
        </is>
      </c>
      <c r="C330" s="13" t="inlineStr">
        <is>
          <t>prj-pro-services-104</t>
        </is>
      </c>
      <c r="D330" s="14" t="inlineStr">
        <is>
          <t>Pro Services</t>
        </is>
      </c>
      <c r="E330" s="13" t="inlineStr">
        <is>
          <t>us-central1</t>
        </is>
      </c>
      <c r="F330" s="14" t="inlineStr">
        <is>
          <t>Cloud Storage</t>
        </is>
      </c>
      <c r="G330" s="14" t="inlineStr">
        <is>
          <t>Standard Storage GB</t>
        </is>
      </c>
      <c r="H330" s="15" t="n">
        <v>2212.64</v>
      </c>
      <c r="I330" s="13" t="inlineStr">
        <is>
          <t>Active</t>
        </is>
      </c>
    </row>
    <row r="331">
      <c r="A331" s="13" t="inlineStr">
        <is>
          <t>TXN-1463</t>
        </is>
      </c>
      <c r="B331" s="13" t="inlineStr">
        <is>
          <t>2026-09-27</t>
        </is>
      </c>
      <c r="C331" s="13" t="inlineStr">
        <is>
          <t>prj-pro-services-102</t>
        </is>
      </c>
      <c r="D331" s="14" t="inlineStr">
        <is>
          <t>Pro Services</t>
        </is>
      </c>
      <c r="E331" s="13" t="inlineStr">
        <is>
          <t>us-central1</t>
        </is>
      </c>
      <c r="F331" s="14" t="inlineStr">
        <is>
          <t>BigQuery</t>
        </is>
      </c>
      <c r="G331" s="14" t="inlineStr">
        <is>
          <t>Analysis Slot Usage</t>
        </is>
      </c>
      <c r="H331" s="15" t="n">
        <v>7101.77</v>
      </c>
      <c r="I331" s="13" t="inlineStr">
        <is>
          <t>Active</t>
        </is>
      </c>
    </row>
    <row r="332">
      <c r="A332" s="13" t="inlineStr">
        <is>
          <t>TXN-1140</t>
        </is>
      </c>
      <c r="B332" s="13" t="inlineStr">
        <is>
          <t>2026-09-09</t>
        </is>
      </c>
      <c r="C332" s="13" t="inlineStr">
        <is>
          <t>prj-pro-services-104</t>
        </is>
      </c>
      <c r="D332" s="14" t="inlineStr">
        <is>
          <t>Pro Services</t>
        </is>
      </c>
      <c r="E332" s="13" t="inlineStr">
        <is>
          <t>us-central1</t>
        </is>
      </c>
      <c r="F332" s="14" t="inlineStr">
        <is>
          <t>Compute Engine</t>
        </is>
      </c>
      <c r="G332" s="14" t="inlineStr">
        <is>
          <t>N2 Standard 8 vCPU</t>
        </is>
      </c>
      <c r="H332" s="15" t="n">
        <v>5466.99</v>
      </c>
      <c r="I332" s="13" t="inlineStr">
        <is>
          <t>Active</t>
        </is>
      </c>
    </row>
    <row r="333">
      <c r="A333" s="13" t="inlineStr">
        <is>
          <t>TXN-1460</t>
        </is>
      </c>
      <c r="B333" s="13" t="inlineStr">
        <is>
          <t>2026-09-29</t>
        </is>
      </c>
      <c r="C333" s="13" t="inlineStr">
        <is>
          <t>prj-e-commerce-engine-101</t>
        </is>
      </c>
      <c r="D333" s="14" t="inlineStr">
        <is>
          <t>E-Commerce Engine</t>
        </is>
      </c>
      <c r="E333" s="13" t="inlineStr">
        <is>
          <t>us-east4</t>
        </is>
      </c>
      <c r="F333" s="14" t="inlineStr">
        <is>
          <t>BigQuery</t>
        </is>
      </c>
      <c r="G333" s="14" t="inlineStr">
        <is>
          <t>Analysis Slot Usage</t>
        </is>
      </c>
      <c r="H333" s="15" t="n">
        <v>9082.879999999999</v>
      </c>
      <c r="I333" s="13" t="inlineStr">
        <is>
          <t>Active</t>
        </is>
      </c>
    </row>
    <row r="334">
      <c r="A334" s="13" t="inlineStr">
        <is>
          <t>TXN-1367</t>
        </is>
      </c>
      <c r="B334" s="13" t="inlineStr">
        <is>
          <t>2026-09-29</t>
        </is>
      </c>
      <c r="C334" s="13" t="inlineStr">
        <is>
          <t>prj-enterprise-saas-103</t>
        </is>
      </c>
      <c r="D334" s="14" t="inlineStr">
        <is>
          <t>Enterprise SaaS</t>
        </is>
      </c>
      <c r="E334" s="13" t="inlineStr">
        <is>
          <t>southamerica-east1</t>
        </is>
      </c>
      <c r="F334" s="14" t="inlineStr">
        <is>
          <t>Cloud SQL</t>
        </is>
      </c>
      <c r="G334" s="14" t="inlineStr">
        <is>
          <t>PostgreSQL High Availability</t>
        </is>
      </c>
      <c r="H334" s="15" t="n">
        <v>5884.75</v>
      </c>
      <c r="I334" s="13" t="inlineStr">
        <is>
          <t>Active</t>
        </is>
      </c>
    </row>
    <row r="335">
      <c r="A335" s="13" t="inlineStr">
        <is>
          <t>TXN-1023</t>
        </is>
      </c>
      <c r="B335" s="13" t="inlineStr">
        <is>
          <t>2026-09-04</t>
        </is>
      </c>
      <c r="C335" s="13" t="inlineStr">
        <is>
          <t>prj-e-commerce-engine-101</t>
        </is>
      </c>
      <c r="D335" s="14" t="inlineStr">
        <is>
          <t>E-Commerce Engine</t>
        </is>
      </c>
      <c r="E335" s="13" t="inlineStr">
        <is>
          <t>asia-east1</t>
        </is>
      </c>
      <c r="F335" s="14" t="inlineStr">
        <is>
          <t>BigQuery</t>
        </is>
      </c>
      <c r="G335" s="14" t="inlineStr">
        <is>
          <t>Analysis Slot Usage</t>
        </is>
      </c>
      <c r="H335" s="15" t="n">
        <v>5614.25</v>
      </c>
      <c r="I335" s="13" t="inlineStr">
        <is>
          <t>Active</t>
        </is>
      </c>
    </row>
    <row r="336">
      <c r="A336" s="13" t="inlineStr">
        <is>
          <t>TXN-1462</t>
        </is>
      </c>
      <c r="B336" s="13" t="inlineStr">
        <is>
          <t>2026-09-28</t>
        </is>
      </c>
      <c r="C336" s="13" t="inlineStr">
        <is>
          <t>prj-hardware-and-iot-105</t>
        </is>
      </c>
      <c r="D336" s="14" t="inlineStr">
        <is>
          <t>Hardware &amp; IoT</t>
        </is>
      </c>
      <c r="E336" s="13" t="inlineStr">
        <is>
          <t>us-central1</t>
        </is>
      </c>
      <c r="F336" s="14" t="inlineStr">
        <is>
          <t>Cloud Storage</t>
        </is>
      </c>
      <c r="G336" s="14" t="inlineStr">
        <is>
          <t>Standard Storage GB</t>
        </is>
      </c>
      <c r="H336" s="15" t="n">
        <v>1574.9</v>
      </c>
      <c r="I336" s="13" t="inlineStr">
        <is>
          <t>Active</t>
        </is>
      </c>
    </row>
    <row r="337">
      <c r="A337" s="13" t="inlineStr">
        <is>
          <t>TXN-1235</t>
        </is>
      </c>
      <c r="B337" s="13" t="inlineStr">
        <is>
          <t>2026-09-08</t>
        </is>
      </c>
      <c r="C337" s="13" t="inlineStr">
        <is>
          <t>prj-enterprise-saas-103</t>
        </is>
      </c>
      <c r="D337" s="14" t="inlineStr">
        <is>
          <t>Enterprise SaaS</t>
        </is>
      </c>
      <c r="E337" s="13" t="inlineStr">
        <is>
          <t>asia-east1</t>
        </is>
      </c>
      <c r="F337" s="14" t="inlineStr">
        <is>
          <t>Google Kubernetes Engine</t>
        </is>
      </c>
      <c r="G337" s="14" t="inlineStr">
        <is>
          <t>Autopilot Pod Compute</t>
        </is>
      </c>
      <c r="H337" s="15" t="n">
        <v>5689.31</v>
      </c>
      <c r="I337" s="13" t="inlineStr">
        <is>
          <t>Active</t>
        </is>
      </c>
    </row>
    <row r="338">
      <c r="A338" s="13" t="inlineStr">
        <is>
          <t>TXN-1314</t>
        </is>
      </c>
      <c r="B338" s="13" t="inlineStr">
        <is>
          <t>2026-09-04</t>
        </is>
      </c>
      <c r="C338" s="13" t="inlineStr">
        <is>
          <t>prj-enterprise-saas-103</t>
        </is>
      </c>
      <c r="D338" s="14" t="inlineStr">
        <is>
          <t>Enterprise SaaS</t>
        </is>
      </c>
      <c r="E338" s="13" t="inlineStr">
        <is>
          <t>asia-east1</t>
        </is>
      </c>
      <c r="F338" s="14" t="inlineStr">
        <is>
          <t>BigQuery</t>
        </is>
      </c>
      <c r="G338" s="14" t="inlineStr">
        <is>
          <t>Analysis Slot Usage</t>
        </is>
      </c>
      <c r="H338" s="15" t="n">
        <v>6452.54</v>
      </c>
      <c r="I338" s="13" t="inlineStr">
        <is>
          <t>Active</t>
        </is>
      </c>
    </row>
    <row r="339">
      <c r="A339" s="13" t="inlineStr">
        <is>
          <t>TXN-1442</t>
        </is>
      </c>
      <c r="B339" s="13" t="inlineStr">
        <is>
          <t>2026-09-24</t>
        </is>
      </c>
      <c r="C339" s="13" t="inlineStr">
        <is>
          <t>prj-global-logistics-105</t>
        </is>
      </c>
      <c r="D339" s="14" t="inlineStr">
        <is>
          <t>Global Logistics</t>
        </is>
      </c>
      <c r="E339" s="13" t="inlineStr">
        <is>
          <t>us-central1</t>
        </is>
      </c>
      <c r="F339" s="14" t="inlineStr">
        <is>
          <t>BigQuery</t>
        </is>
      </c>
      <c r="G339" s="14" t="inlineStr">
        <is>
          <t>Analysis Slot Usage</t>
        </is>
      </c>
      <c r="H339" s="15" t="n">
        <v>9141.17</v>
      </c>
      <c r="I339" s="13" t="inlineStr">
        <is>
          <t>Active</t>
        </is>
      </c>
    </row>
    <row r="340">
      <c r="A340" s="13" t="inlineStr">
        <is>
          <t>TXN-1325</t>
        </is>
      </c>
      <c r="B340" s="13" t="inlineStr">
        <is>
          <t>2026-09-07</t>
        </is>
      </c>
      <c r="C340" s="13" t="inlineStr">
        <is>
          <t>prj-e-commerce-engine-102</t>
        </is>
      </c>
      <c r="D340" s="14" t="inlineStr">
        <is>
          <t>E-Commerce Engine</t>
        </is>
      </c>
      <c r="E340" s="13" t="inlineStr">
        <is>
          <t>asia-east1</t>
        </is>
      </c>
      <c r="F340" s="14" t="inlineStr">
        <is>
          <t>Cloud SQL</t>
        </is>
      </c>
      <c r="G340" s="14" t="inlineStr">
        <is>
          <t>Promotional Credit / Outage SLA Refund</t>
        </is>
      </c>
      <c r="H340" s="15" t="n">
        <v>-2872.57</v>
      </c>
      <c r="I340" s="13" t="inlineStr">
        <is>
          <t>Active</t>
        </is>
      </c>
    </row>
    <row r="341">
      <c r="A341" s="13" t="inlineStr">
        <is>
          <t>TXN-1008</t>
        </is>
      </c>
      <c r="B341" s="13" t="inlineStr">
        <is>
          <t>2026-09-18</t>
        </is>
      </c>
      <c r="C341" s="13" t="inlineStr">
        <is>
          <t>prj-enterprise-saas-105</t>
        </is>
      </c>
      <c r="D341" s="14" t="inlineStr">
        <is>
          <t>Enterprise SaaS</t>
        </is>
      </c>
      <c r="E341" s="13" t="inlineStr">
        <is>
          <t>us-east4</t>
        </is>
      </c>
      <c r="F341" s="14" t="inlineStr">
        <is>
          <t>Compute Engine</t>
        </is>
      </c>
      <c r="G341" s="14" t="inlineStr">
        <is>
          <t>N2 Standard 8 vCPU</t>
        </is>
      </c>
      <c r="H341" s="15" t="n">
        <v>4672.71</v>
      </c>
      <c r="I341" s="13" t="inlineStr">
        <is>
          <t>Active</t>
        </is>
      </c>
    </row>
    <row r="342">
      <c r="A342" s="13" t="inlineStr">
        <is>
          <t>TXN-1007</t>
        </is>
      </c>
      <c r="B342" s="13" t="inlineStr">
        <is>
          <t>2026-09-28</t>
        </is>
      </c>
      <c r="C342" s="13" t="inlineStr">
        <is>
          <t>prj-hardware-and-iot-101</t>
        </is>
      </c>
      <c r="D342" s="14" t="inlineStr">
        <is>
          <t>Hardware &amp; IoT</t>
        </is>
      </c>
      <c r="E342" s="13" t="inlineStr">
        <is>
          <t>southamerica-east1</t>
        </is>
      </c>
      <c r="F342" s="14" t="inlineStr">
        <is>
          <t>BigQuery</t>
        </is>
      </c>
      <c r="G342" s="14" t="inlineStr">
        <is>
          <t>Analysis Slot Usage</t>
        </is>
      </c>
      <c r="H342" s="15" t="n">
        <v>8013.52</v>
      </c>
      <c r="I342" s="13" t="inlineStr">
        <is>
          <t>Active</t>
        </is>
      </c>
    </row>
    <row r="343">
      <c r="A343" s="13" t="inlineStr">
        <is>
          <t>TXN-1091</t>
        </is>
      </c>
      <c r="B343" s="13" t="inlineStr">
        <is>
          <t>2026-09-21</t>
        </is>
      </c>
      <c r="C343" s="13" t="inlineStr">
        <is>
          <t>prj-enterprise-saas-102</t>
        </is>
      </c>
      <c r="D343" s="14" t="inlineStr">
        <is>
          <t>Enterprise SaaS</t>
        </is>
      </c>
      <c r="E343" s="13" t="inlineStr">
        <is>
          <t>us-central1</t>
        </is>
      </c>
      <c r="F343" s="14" t="inlineStr">
        <is>
          <t>Cloud SQL</t>
        </is>
      </c>
      <c r="G343" s="14" t="inlineStr">
        <is>
          <t>Promotional Credit / Outage SLA Refund</t>
        </is>
      </c>
      <c r="H343" s="15" t="n">
        <v>-2921.84</v>
      </c>
      <c r="I343" s="13" t="inlineStr">
        <is>
          <t>Active</t>
        </is>
      </c>
    </row>
    <row r="344">
      <c r="A344" s="13" t="inlineStr">
        <is>
          <t>TXN-1404</t>
        </is>
      </c>
      <c r="B344" s="13" t="inlineStr">
        <is>
          <t>2026-09-03</t>
        </is>
      </c>
      <c r="C344" s="13" t="inlineStr">
        <is>
          <t>prj-e-commerce-engine-105</t>
        </is>
      </c>
      <c r="D344" s="14" t="inlineStr">
        <is>
          <t>E-Commerce Engine</t>
        </is>
      </c>
      <c r="E344" s="13" t="inlineStr">
        <is>
          <t>us-central1</t>
        </is>
      </c>
      <c r="F344" s="14" t="inlineStr">
        <is>
          <t>Compute Engine</t>
        </is>
      </c>
      <c r="G344" s="14" t="inlineStr">
        <is>
          <t>N2 Standard 8 vCPU</t>
        </is>
      </c>
      <c r="H344" s="15" t="n">
        <v>7111.55</v>
      </c>
      <c r="I344" s="13" t="inlineStr">
        <is>
          <t>Active</t>
        </is>
      </c>
    </row>
    <row r="345">
      <c r="A345" s="13" t="inlineStr">
        <is>
          <t>TXN-1376</t>
        </is>
      </c>
      <c r="B345" s="13" t="inlineStr">
        <is>
          <t>2026-09-09</t>
        </is>
      </c>
      <c r="C345" s="13" t="inlineStr">
        <is>
          <t>prj-e-commerce-engine-103</t>
        </is>
      </c>
      <c r="D345" s="14" t="inlineStr">
        <is>
          <t>E-Commerce Engine</t>
        </is>
      </c>
      <c r="E345" s="13" t="inlineStr">
        <is>
          <t>asia-east1</t>
        </is>
      </c>
      <c r="F345" s="14" t="inlineStr">
        <is>
          <t>Cloud Storage</t>
        </is>
      </c>
      <c r="G345" s="14" t="inlineStr">
        <is>
          <t>Standard Storage GB</t>
        </is>
      </c>
      <c r="H345" s="15" t="n">
        <v>3205.05</v>
      </c>
      <c r="I345" s="13" t="inlineStr">
        <is>
          <t>Active</t>
        </is>
      </c>
    </row>
    <row r="346">
      <c r="A346" s="13" t="inlineStr">
        <is>
          <t>TXN-1426</t>
        </is>
      </c>
      <c r="B346" s="13" t="inlineStr">
        <is>
          <t>2026-09-17</t>
        </is>
      </c>
      <c r="C346" s="13" t="inlineStr">
        <is>
          <t>prj-global-logistics-103</t>
        </is>
      </c>
      <c r="D346" s="14" t="inlineStr">
        <is>
          <t>Global Logistics</t>
        </is>
      </c>
      <c r="E346" s="13" t="inlineStr">
        <is>
          <t>us-east4</t>
        </is>
      </c>
      <c r="F346" s="14" t="inlineStr">
        <is>
          <t>BigQuery</t>
        </is>
      </c>
      <c r="G346" s="14" t="inlineStr">
        <is>
          <t>Analysis Slot Usage</t>
        </is>
      </c>
      <c r="H346" s="15" t="n">
        <v>4335.27</v>
      </c>
      <c r="I346" s="13" t="inlineStr">
        <is>
          <t>Active</t>
        </is>
      </c>
    </row>
    <row r="347">
      <c r="A347" s="13" t="inlineStr">
        <is>
          <t>TXN-1126</t>
        </is>
      </c>
      <c r="B347" s="13" t="inlineStr">
        <is>
          <t>2026-09-06</t>
        </is>
      </c>
      <c r="C347" s="13" t="inlineStr">
        <is>
          <t>prj-pro-services-103</t>
        </is>
      </c>
      <c r="D347" s="14" t="inlineStr">
        <is>
          <t>Pro Services</t>
        </is>
      </c>
      <c r="E347" s="13" t="inlineStr">
        <is>
          <t>europe-west1</t>
        </is>
      </c>
      <c r="F347" s="14" t="inlineStr">
        <is>
          <t>BigQuery</t>
        </is>
      </c>
      <c r="G347" s="14" t="inlineStr">
        <is>
          <t>Analysis Slot Usage</t>
        </is>
      </c>
      <c r="H347" s="15" t="n">
        <v>5871.86</v>
      </c>
      <c r="I347" s="13" t="inlineStr">
        <is>
          <t>Active</t>
        </is>
      </c>
    </row>
    <row r="348">
      <c r="A348" s="13" t="inlineStr">
        <is>
          <t>TXN-1164</t>
        </is>
      </c>
      <c r="B348" s="13" t="inlineStr">
        <is>
          <t>2026-09-10</t>
        </is>
      </c>
      <c r="C348" s="13" t="inlineStr">
        <is>
          <t>prj-pro-services-101</t>
        </is>
      </c>
      <c r="D348" s="14" t="inlineStr">
        <is>
          <t>Pro Services</t>
        </is>
      </c>
      <c r="E348" s="13" t="inlineStr">
        <is>
          <t>us-east4</t>
        </is>
      </c>
      <c r="F348" s="14" t="inlineStr">
        <is>
          <t>Compute Engine</t>
        </is>
      </c>
      <c r="G348" s="14" t="inlineStr">
        <is>
          <t>Promotional Credit / Outage SLA Refund</t>
        </is>
      </c>
      <c r="H348" s="15" t="n">
        <v>-3316.58</v>
      </c>
      <c r="I348" s="13" t="inlineStr">
        <is>
          <t>Active</t>
        </is>
      </c>
    </row>
    <row r="349">
      <c r="A349" s="13" t="inlineStr">
        <is>
          <t>TXN-1269</t>
        </is>
      </c>
      <c r="B349" s="13" t="inlineStr">
        <is>
          <t>2026-09-03</t>
        </is>
      </c>
      <c r="C349" s="13" t="inlineStr">
        <is>
          <t>prj-e-commerce-engine-102</t>
        </is>
      </c>
      <c r="D349" s="14" t="inlineStr">
        <is>
          <t>E-Commerce Engine</t>
        </is>
      </c>
      <c r="E349" s="13" t="inlineStr">
        <is>
          <t>europe-west1</t>
        </is>
      </c>
      <c r="F349" s="14" t="inlineStr">
        <is>
          <t>Compute Engine</t>
        </is>
      </c>
      <c r="G349" s="14" t="inlineStr">
        <is>
          <t>N2 Standard 8 vCPU</t>
        </is>
      </c>
      <c r="H349" s="15" t="n">
        <v>6330.49</v>
      </c>
      <c r="I349" s="13" t="inlineStr">
        <is>
          <t>Active</t>
        </is>
      </c>
    </row>
    <row r="350">
      <c r="A350" s="13" t="inlineStr">
        <is>
          <t>TXN-1058</t>
        </is>
      </c>
      <c r="B350" s="13" t="inlineStr">
        <is>
          <t>2026-09-15</t>
        </is>
      </c>
      <c r="C350" s="13" t="inlineStr">
        <is>
          <t>prj-e-commerce-engine-105</t>
        </is>
      </c>
      <c r="D350" s="14" t="inlineStr">
        <is>
          <t>E-Commerce Engine</t>
        </is>
      </c>
      <c r="E350" s="13" t="inlineStr">
        <is>
          <t>asia-east1</t>
        </is>
      </c>
      <c r="F350" s="14" t="inlineStr">
        <is>
          <t>Google Kubernetes Engine</t>
        </is>
      </c>
      <c r="G350" s="14" t="inlineStr">
        <is>
          <t>Autopilot Pod Compute</t>
        </is>
      </c>
      <c r="H350" s="15" t="n">
        <v>5046.94</v>
      </c>
      <c r="I350" s="13" t="inlineStr">
        <is>
          <t>Active</t>
        </is>
      </c>
    </row>
    <row r="351">
      <c r="A351" s="13" t="inlineStr">
        <is>
          <t>TXN-1218</t>
        </is>
      </c>
      <c r="B351" s="13" t="inlineStr">
        <is>
          <t>2026-09-08</t>
        </is>
      </c>
      <c r="C351" s="13" t="inlineStr">
        <is>
          <t>prj-e-commerce-engine-102</t>
        </is>
      </c>
      <c r="D351" s="14" t="inlineStr">
        <is>
          <t>E-Commerce Engine</t>
        </is>
      </c>
      <c r="E351" s="13" t="inlineStr">
        <is>
          <t>asia-east1</t>
        </is>
      </c>
      <c r="F351" s="14" t="inlineStr">
        <is>
          <t>Compute Engine</t>
        </is>
      </c>
      <c r="G351" s="14" t="inlineStr">
        <is>
          <t>N2 Standard 8 vCPU</t>
        </is>
      </c>
      <c r="H351" s="15" t="n">
        <v>4561.47</v>
      </c>
      <c r="I351" s="13" t="inlineStr">
        <is>
          <t>Active</t>
        </is>
      </c>
    </row>
    <row r="352">
      <c r="A352" s="13" t="inlineStr">
        <is>
          <t>TXN-1105</t>
        </is>
      </c>
      <c r="B352" s="13" t="inlineStr">
        <is>
          <t>2026-09-16</t>
        </is>
      </c>
      <c r="C352" s="13" t="inlineStr">
        <is>
          <t>prj-enterprise-saas-104</t>
        </is>
      </c>
      <c r="D352" s="14" t="inlineStr">
        <is>
          <t>Enterprise SaaS</t>
        </is>
      </c>
      <c r="E352" s="13" t="inlineStr">
        <is>
          <t>us-east4</t>
        </is>
      </c>
      <c r="F352" s="14" t="inlineStr">
        <is>
          <t>BigQuery</t>
        </is>
      </c>
      <c r="G352" s="14" t="inlineStr">
        <is>
          <t>Analysis Slot Usage</t>
        </is>
      </c>
      <c r="H352" s="15" t="n">
        <v>7983</v>
      </c>
      <c r="I352" s="13" t="inlineStr">
        <is>
          <t>Active</t>
        </is>
      </c>
    </row>
    <row r="353">
      <c r="A353" s="13" t="inlineStr">
        <is>
          <t>TXN-1239</t>
        </is>
      </c>
      <c r="B353" s="13" t="inlineStr">
        <is>
          <t>2026-09-10</t>
        </is>
      </c>
      <c r="C353" s="13" t="inlineStr">
        <is>
          <t>prj-hardware-and-iot-102</t>
        </is>
      </c>
      <c r="D353" s="14" t="inlineStr">
        <is>
          <t>Hardware &amp; IoT</t>
        </is>
      </c>
      <c r="E353" s="13" t="inlineStr">
        <is>
          <t>asia-east1</t>
        </is>
      </c>
      <c r="F353" s="14" t="inlineStr">
        <is>
          <t>Compute Engine</t>
        </is>
      </c>
      <c r="G353" s="14" t="inlineStr">
        <is>
          <t>N2 Standard 8 vCPU</t>
        </is>
      </c>
      <c r="H353" s="15" t="n">
        <v>6979.45</v>
      </c>
      <c r="I353" s="13" t="inlineStr">
        <is>
          <t>Active</t>
        </is>
      </c>
    </row>
    <row r="354">
      <c r="A354" s="13" t="inlineStr">
        <is>
          <t>TXN-1129</t>
        </is>
      </c>
      <c r="B354" s="13" t="inlineStr">
        <is>
          <t>2026-09-08</t>
        </is>
      </c>
      <c r="C354" s="13" t="inlineStr">
        <is>
          <t>prj-pro-services-101</t>
        </is>
      </c>
      <c r="D354" s="14" t="inlineStr">
        <is>
          <t>Pro Services</t>
        </is>
      </c>
      <c r="E354" s="13" t="inlineStr">
        <is>
          <t>us-east4</t>
        </is>
      </c>
      <c r="F354" s="14" t="inlineStr">
        <is>
          <t>Cloud SQL</t>
        </is>
      </c>
      <c r="G354" s="14" t="inlineStr">
        <is>
          <t>PostgreSQL High Availability</t>
        </is>
      </c>
      <c r="H354" s="15" t="n">
        <v>2825.69</v>
      </c>
      <c r="I354" s="13" t="inlineStr">
        <is>
          <t>Active</t>
        </is>
      </c>
    </row>
    <row r="355">
      <c r="A355" s="13" t="inlineStr">
        <is>
          <t>TXN-1416</t>
        </is>
      </c>
      <c r="B355" s="13" t="inlineStr">
        <is>
          <t>2026-09-05</t>
        </is>
      </c>
      <c r="C355" s="13" t="inlineStr">
        <is>
          <t>prj-global-logistics-103</t>
        </is>
      </c>
      <c r="D355" s="14" t="inlineStr">
        <is>
          <t>Global Logistics</t>
        </is>
      </c>
      <c r="E355" s="13" t="inlineStr">
        <is>
          <t>us-central1</t>
        </is>
      </c>
      <c r="F355" s="14" t="inlineStr">
        <is>
          <t>Compute Engine</t>
        </is>
      </c>
      <c r="G355" s="14" t="inlineStr">
        <is>
          <t>N2 Standard 8 vCPU</t>
        </is>
      </c>
      <c r="H355" s="15" t="n">
        <v>5352.02</v>
      </c>
      <c r="I355" s="13" t="inlineStr">
        <is>
          <t>Active</t>
        </is>
      </c>
    </row>
    <row r="356">
      <c r="A356" s="13" t="inlineStr">
        <is>
          <t>TXN-1144</t>
        </is>
      </c>
      <c r="B356" s="13" t="inlineStr">
        <is>
          <t>2026-09-15</t>
        </is>
      </c>
      <c r="C356" s="13" t="inlineStr">
        <is>
          <t>prj-hardware-and-iot-103</t>
        </is>
      </c>
      <c r="D356" s="14" t="inlineStr">
        <is>
          <t>Hardware &amp; IoT</t>
        </is>
      </c>
      <c r="E356" s="13" t="inlineStr">
        <is>
          <t>southamerica-east1</t>
        </is>
      </c>
      <c r="F356" s="14" t="inlineStr">
        <is>
          <t>Cloud SQL</t>
        </is>
      </c>
      <c r="G356" s="14" t="inlineStr">
        <is>
          <t>PostgreSQL High Availability</t>
        </is>
      </c>
      <c r="H356" s="15" t="n">
        <v>4490.2</v>
      </c>
      <c r="I356" s="13" t="inlineStr">
        <is>
          <t>Active</t>
        </is>
      </c>
    </row>
    <row r="357">
      <c r="A357" s="13" t="inlineStr">
        <is>
          <t>TXN-1047</t>
        </is>
      </c>
      <c r="B357" s="13" t="inlineStr">
        <is>
          <t>2026-09-24</t>
        </is>
      </c>
      <c r="C357" s="13" t="inlineStr">
        <is>
          <t>prj-e-commerce-engine-102</t>
        </is>
      </c>
      <c r="D357" s="14" t="inlineStr">
        <is>
          <t>E-Commerce Engine</t>
        </is>
      </c>
      <c r="E357" s="13" t="inlineStr">
        <is>
          <t>us-east4</t>
        </is>
      </c>
      <c r="F357" s="14" t="inlineStr">
        <is>
          <t>Cloud Storage</t>
        </is>
      </c>
      <c r="G357" s="14" t="inlineStr">
        <is>
          <t>Standard Storage GB</t>
        </is>
      </c>
      <c r="H357" s="15" t="n">
        <v>1971.44</v>
      </c>
      <c r="I357" s="13" t="inlineStr">
        <is>
          <t>Active</t>
        </is>
      </c>
    </row>
    <row r="358">
      <c r="A358" s="13" t="inlineStr">
        <is>
          <t>TXN-1168</t>
        </is>
      </c>
      <c r="B358" s="13" t="inlineStr">
        <is>
          <t>2026-09-14</t>
        </is>
      </c>
      <c r="C358" s="13" t="inlineStr">
        <is>
          <t>prj-pro-services-104</t>
        </is>
      </c>
      <c r="D358" s="14" t="inlineStr">
        <is>
          <t>Pro Services</t>
        </is>
      </c>
      <c r="E358" s="13" t="inlineStr">
        <is>
          <t>us-east4</t>
        </is>
      </c>
      <c r="F358" s="14" t="inlineStr">
        <is>
          <t>Cloud Storage</t>
        </is>
      </c>
      <c r="G358" s="14" t="inlineStr">
        <is>
          <t>Standard Storage GB</t>
        </is>
      </c>
      <c r="H358" s="15" t="n">
        <v>2633.29</v>
      </c>
      <c r="I358" s="13" t="inlineStr">
        <is>
          <t>Active</t>
        </is>
      </c>
    </row>
    <row r="359">
      <c r="A359" s="13" t="inlineStr">
        <is>
          <t>TXN-1348</t>
        </is>
      </c>
      <c r="B359" s="13" t="inlineStr">
        <is>
          <t>2026-09-15</t>
        </is>
      </c>
      <c r="C359" s="13" t="inlineStr">
        <is>
          <t>prj-enterprise-saas-102</t>
        </is>
      </c>
      <c r="D359" s="14" t="inlineStr">
        <is>
          <t>Enterprise SaaS</t>
        </is>
      </c>
      <c r="E359" s="13" t="inlineStr">
        <is>
          <t>asia-east1</t>
        </is>
      </c>
      <c r="F359" s="14" t="inlineStr">
        <is>
          <t>Cloud SQL</t>
        </is>
      </c>
      <c r="G359" s="14" t="inlineStr">
        <is>
          <t>PostgreSQL High Availability</t>
        </is>
      </c>
      <c r="H359" s="15" t="n">
        <v>2993.07</v>
      </c>
      <c r="I359" s="13" t="inlineStr">
        <is>
          <t>Active</t>
        </is>
      </c>
    </row>
    <row r="360">
      <c r="A360" s="13" t="inlineStr">
        <is>
          <t>TXN-1412</t>
        </is>
      </c>
      <c r="B360" s="13" t="inlineStr">
        <is>
          <t>2026-09-16</t>
        </is>
      </c>
      <c r="C360" s="13" t="inlineStr">
        <is>
          <t>prj-enterprise-saas-102</t>
        </is>
      </c>
      <c r="D360" s="14" t="inlineStr">
        <is>
          <t>Enterprise SaaS</t>
        </is>
      </c>
      <c r="E360" s="13" t="inlineStr">
        <is>
          <t>asia-east1</t>
        </is>
      </c>
      <c r="F360" s="14" t="inlineStr">
        <is>
          <t>Cloud SQL</t>
        </is>
      </c>
      <c r="G360" s="14" t="inlineStr">
        <is>
          <t>PostgreSQL High Availability</t>
        </is>
      </c>
      <c r="H360" s="15" t="n">
        <v>5191.4</v>
      </c>
      <c r="I360" s="13" t="inlineStr">
        <is>
          <t>Active</t>
        </is>
      </c>
    </row>
    <row r="361">
      <c r="A361" s="13" t="inlineStr">
        <is>
          <t>TXN-1464</t>
        </is>
      </c>
      <c r="B361" s="13" t="inlineStr">
        <is>
          <t>2026-09-19</t>
        </is>
      </c>
      <c r="C361" s="13" t="inlineStr">
        <is>
          <t>prj-pro-services-104</t>
        </is>
      </c>
      <c r="D361" s="14" t="inlineStr">
        <is>
          <t>Pro Services</t>
        </is>
      </c>
      <c r="E361" s="13" t="inlineStr">
        <is>
          <t>southamerica-east1</t>
        </is>
      </c>
      <c r="F361" s="14" t="inlineStr">
        <is>
          <t>BigQuery</t>
        </is>
      </c>
      <c r="G361" s="14" t="inlineStr">
        <is>
          <t>Analysis Slot Usage</t>
        </is>
      </c>
      <c r="H361" s="15" t="n">
        <v>8155.85</v>
      </c>
      <c r="I361" s="13" t="inlineStr">
        <is>
          <t>Active</t>
        </is>
      </c>
    </row>
    <row r="362">
      <c r="A362" s="13" t="inlineStr">
        <is>
          <t>TXN-1030</t>
        </is>
      </c>
      <c r="B362" s="13" t="inlineStr">
        <is>
          <t>2026-09-06</t>
        </is>
      </c>
      <c r="C362" s="13" t="inlineStr">
        <is>
          <t>prj-hardware-and-iot-104</t>
        </is>
      </c>
      <c r="D362" s="14" t="inlineStr">
        <is>
          <t>Hardware &amp; IoT</t>
        </is>
      </c>
      <c r="E362" s="13" t="inlineStr">
        <is>
          <t>southamerica-east1</t>
        </is>
      </c>
      <c r="F362" s="14" t="inlineStr">
        <is>
          <t>Google Kubernetes Engine</t>
        </is>
      </c>
      <c r="G362" s="14" t="inlineStr">
        <is>
          <t>Autopilot Pod Compute</t>
        </is>
      </c>
      <c r="H362" s="15" t="n">
        <v>10786.18</v>
      </c>
      <c r="I362" s="13" t="inlineStr">
        <is>
          <t>Active</t>
        </is>
      </c>
    </row>
    <row r="363">
      <c r="A363" s="13" t="inlineStr">
        <is>
          <t>TXN-1429</t>
        </is>
      </c>
      <c r="B363" s="13" t="inlineStr">
        <is>
          <t>2026-09-10</t>
        </is>
      </c>
      <c r="C363" s="13" t="inlineStr">
        <is>
          <t>prj-pro-services-104</t>
        </is>
      </c>
      <c r="D363" s="14" t="inlineStr">
        <is>
          <t>Pro Services</t>
        </is>
      </c>
      <c r="E363" s="13" t="inlineStr">
        <is>
          <t>europe-west1</t>
        </is>
      </c>
      <c r="F363" s="14" t="inlineStr">
        <is>
          <t>Google Kubernetes Engine</t>
        </is>
      </c>
      <c r="G363" s="14" t="inlineStr">
        <is>
          <t>Autopilot Pod Compute</t>
        </is>
      </c>
      <c r="H363" s="15" t="n">
        <v>6445.81</v>
      </c>
      <c r="I363" s="13" t="inlineStr">
        <is>
          <t>Active</t>
        </is>
      </c>
    </row>
    <row r="364">
      <c r="A364" s="13" t="inlineStr">
        <is>
          <t>TXN-1180</t>
        </is>
      </c>
      <c r="B364" s="13" t="inlineStr">
        <is>
          <t>2026-09-28</t>
        </is>
      </c>
      <c r="C364" s="13" t="inlineStr">
        <is>
          <t>prj-e-commerce-engine-104</t>
        </is>
      </c>
      <c r="D364" s="14" t="inlineStr">
        <is>
          <t>E-Commerce Engine</t>
        </is>
      </c>
      <c r="E364" s="13" t="inlineStr">
        <is>
          <t>us-east4</t>
        </is>
      </c>
      <c r="F364" s="14" t="inlineStr">
        <is>
          <t>BigQuery</t>
        </is>
      </c>
      <c r="G364" s="14" t="inlineStr">
        <is>
          <t>Analysis Slot Usage</t>
        </is>
      </c>
      <c r="H364" s="15" t="n">
        <v>8798.110000000001</v>
      </c>
      <c r="I364" s="13" t="inlineStr">
        <is>
          <t>Active</t>
        </is>
      </c>
    </row>
    <row r="365">
      <c r="A365" s="13" t="inlineStr">
        <is>
          <t>TXN-1353</t>
        </is>
      </c>
      <c r="B365" s="13" t="inlineStr">
        <is>
          <t>2026-09-08</t>
        </is>
      </c>
      <c r="C365" s="13" t="inlineStr">
        <is>
          <t>prj-global-logistics-101</t>
        </is>
      </c>
      <c r="D365" s="14" t="inlineStr">
        <is>
          <t>Global Logistics</t>
        </is>
      </c>
      <c r="E365" s="13" t="inlineStr">
        <is>
          <t>southamerica-east1</t>
        </is>
      </c>
      <c r="F365" s="14" t="inlineStr">
        <is>
          <t>BigQuery</t>
        </is>
      </c>
      <c r="G365" s="14" t="inlineStr">
        <is>
          <t>Analysis Slot Usage</t>
        </is>
      </c>
      <c r="H365" s="15" t="n">
        <v>4277.97</v>
      </c>
      <c r="I365" s="13" t="inlineStr">
        <is>
          <t>Active</t>
        </is>
      </c>
    </row>
    <row r="366">
      <c r="A366" s="13" t="inlineStr">
        <is>
          <t>TXN-1282</t>
        </is>
      </c>
      <c r="B366" s="13" t="inlineStr">
        <is>
          <t>2026-09-22</t>
        </is>
      </c>
      <c r="C366" s="13" t="inlineStr">
        <is>
          <t>prj-global-logistics-103</t>
        </is>
      </c>
      <c r="D366" s="14" t="inlineStr">
        <is>
          <t>Global Logistics</t>
        </is>
      </c>
      <c r="E366" s="13" t="inlineStr">
        <is>
          <t>us-east4</t>
        </is>
      </c>
      <c r="F366" s="14" t="inlineStr">
        <is>
          <t>Google Kubernetes Engine</t>
        </is>
      </c>
      <c r="G366" s="14" t="inlineStr">
        <is>
          <t>Autopilot Pod Compute</t>
        </is>
      </c>
      <c r="H366" s="15" t="n">
        <v>9514.35</v>
      </c>
      <c r="I366" s="13" t="inlineStr">
        <is>
          <t>Active</t>
        </is>
      </c>
    </row>
    <row r="367">
      <c r="A367" s="13" t="inlineStr">
        <is>
          <t>TXN-1458</t>
        </is>
      </c>
      <c r="B367" s="13" t="inlineStr">
        <is>
          <t>2026-09-23</t>
        </is>
      </c>
      <c r="C367" s="13" t="inlineStr">
        <is>
          <t>prj-global-logistics-104</t>
        </is>
      </c>
      <c r="D367" s="14" t="inlineStr">
        <is>
          <t>Global Logistics</t>
        </is>
      </c>
      <c r="E367" s="13" t="inlineStr">
        <is>
          <t>us-central1</t>
        </is>
      </c>
      <c r="F367" s="14" t="inlineStr">
        <is>
          <t>Cloud SQL</t>
        </is>
      </c>
      <c r="G367" s="14" t="inlineStr">
        <is>
          <t>PostgreSQL High Availability</t>
        </is>
      </c>
      <c r="H367" s="15" t="n">
        <v>4757.18</v>
      </c>
      <c r="I367" s="13" t="inlineStr">
        <is>
          <t>Active</t>
        </is>
      </c>
    </row>
    <row r="368">
      <c r="A368" s="13" t="inlineStr">
        <is>
          <t>TXN-1031</t>
        </is>
      </c>
      <c r="B368" s="13" t="inlineStr">
        <is>
          <t>2026-09-30</t>
        </is>
      </c>
      <c r="C368" s="13" t="inlineStr">
        <is>
          <t>prj-e-commerce-engine-104</t>
        </is>
      </c>
      <c r="D368" s="14" t="inlineStr">
        <is>
          <t>E-Commerce Engine</t>
        </is>
      </c>
      <c r="E368" s="13" t="inlineStr">
        <is>
          <t>europe-west1</t>
        </is>
      </c>
      <c r="F368" s="14" t="inlineStr">
        <is>
          <t>BigQuery</t>
        </is>
      </c>
      <c r="G368" s="14" t="inlineStr">
        <is>
          <t>Analysis Slot Usage</t>
        </is>
      </c>
      <c r="H368" s="15" t="n">
        <v>9473.32</v>
      </c>
      <c r="I368" s="13" t="inlineStr">
        <is>
          <t>Active</t>
        </is>
      </c>
    </row>
    <row r="369">
      <c r="A369" s="13" t="inlineStr">
        <is>
          <t>TXN-1035</t>
        </is>
      </c>
      <c r="B369" s="13" t="inlineStr">
        <is>
          <t>2026-09-29</t>
        </is>
      </c>
      <c r="C369" s="13" t="inlineStr">
        <is>
          <t>prj-enterprise-saas-105</t>
        </is>
      </c>
      <c r="D369" s="14" t="inlineStr">
        <is>
          <t>Enterprise SaaS</t>
        </is>
      </c>
      <c r="E369" s="13" t="inlineStr">
        <is>
          <t>asia-east1</t>
        </is>
      </c>
      <c r="F369" s="14" t="inlineStr">
        <is>
          <t>Compute Engine</t>
        </is>
      </c>
      <c r="G369" s="14" t="inlineStr">
        <is>
          <t>N2 Standard 8 vCPU</t>
        </is>
      </c>
      <c r="H369" s="15" t="n">
        <v>4452.02</v>
      </c>
      <c r="I369" s="13" t="inlineStr">
        <is>
          <t>Active</t>
        </is>
      </c>
    </row>
    <row r="370">
      <c r="A370" s="13" t="inlineStr">
        <is>
          <t>TXN-1193</t>
        </is>
      </c>
      <c r="B370" s="13" t="inlineStr">
        <is>
          <t>2026-09-25</t>
        </is>
      </c>
      <c r="C370" s="13" t="inlineStr">
        <is>
          <t>prj-enterprise-saas-103</t>
        </is>
      </c>
      <c r="D370" s="14" t="inlineStr">
        <is>
          <t>Enterprise SaaS</t>
        </is>
      </c>
      <c r="E370" s="13" t="inlineStr">
        <is>
          <t>southamerica-east1</t>
        </is>
      </c>
      <c r="F370" s="14" t="inlineStr">
        <is>
          <t>Cloud SQL</t>
        </is>
      </c>
      <c r="G370" s="14" t="inlineStr">
        <is>
          <t>PostgreSQL High Availability</t>
        </is>
      </c>
      <c r="H370" s="15" t="n">
        <v>5215.09</v>
      </c>
      <c r="I370" s="13" t="inlineStr">
        <is>
          <t>Active</t>
        </is>
      </c>
    </row>
    <row r="371">
      <c r="A371" s="13" t="inlineStr">
        <is>
          <t>TXN-1173</t>
        </is>
      </c>
      <c r="B371" s="13" t="inlineStr">
        <is>
          <t>2026-09-18</t>
        </is>
      </c>
      <c r="C371" s="13" t="inlineStr">
        <is>
          <t>prj-pro-services-102</t>
        </is>
      </c>
      <c r="D371" s="14" t="inlineStr">
        <is>
          <t>Pro Services</t>
        </is>
      </c>
      <c r="E371" s="13" t="inlineStr">
        <is>
          <t>us-east4</t>
        </is>
      </c>
      <c r="F371" s="14" t="inlineStr">
        <is>
          <t>BigQuery</t>
        </is>
      </c>
      <c r="G371" s="14" t="inlineStr">
        <is>
          <t>Analysis Slot Usage</t>
        </is>
      </c>
      <c r="H371" s="15" t="n">
        <v>9394.26</v>
      </c>
      <c r="I371" s="13" t="inlineStr">
        <is>
          <t>Active</t>
        </is>
      </c>
    </row>
    <row r="372">
      <c r="A372" s="13" t="inlineStr">
        <is>
          <t>TXN-1398</t>
        </is>
      </c>
      <c r="B372" s="13" t="inlineStr">
        <is>
          <t>2026-09-21</t>
        </is>
      </c>
      <c r="C372" s="13" t="inlineStr">
        <is>
          <t>prj-hardware-and-iot-101</t>
        </is>
      </c>
      <c r="D372" s="14" t="inlineStr">
        <is>
          <t>Hardware &amp; IoT</t>
        </is>
      </c>
      <c r="E372" s="13" t="inlineStr">
        <is>
          <t>europe-west1</t>
        </is>
      </c>
      <c r="F372" s="14" t="inlineStr">
        <is>
          <t>Compute Engine</t>
        </is>
      </c>
      <c r="G372" s="14" t="inlineStr">
        <is>
          <t>N2 Standard 8 vCPU</t>
        </is>
      </c>
      <c r="H372" s="15" t="n">
        <v>5361.58</v>
      </c>
      <c r="I372" s="13" t="inlineStr">
        <is>
          <t>Active</t>
        </is>
      </c>
    </row>
    <row r="373">
      <c r="A373" s="13" t="inlineStr">
        <is>
          <t>TXN-1077</t>
        </is>
      </c>
      <c r="B373" s="13" t="inlineStr">
        <is>
          <t>2026-09-14</t>
        </is>
      </c>
      <c r="C373" s="13" t="inlineStr">
        <is>
          <t>prj-hardware-and-iot-105</t>
        </is>
      </c>
      <c r="D373" s="14" t="inlineStr">
        <is>
          <t>Hardware &amp; IoT</t>
        </is>
      </c>
      <c r="E373" s="13" t="inlineStr">
        <is>
          <t>asia-east1</t>
        </is>
      </c>
      <c r="F373" s="14" t="inlineStr">
        <is>
          <t>Cloud SQL</t>
        </is>
      </c>
      <c r="G373" s="14" t="inlineStr">
        <is>
          <t>PostgreSQL High Availability</t>
        </is>
      </c>
      <c r="H373" s="15" t="n">
        <v>5944.83</v>
      </c>
      <c r="I373" s="13" t="inlineStr">
        <is>
          <t>Active</t>
        </is>
      </c>
    </row>
    <row r="374">
      <c r="A374" s="13" t="inlineStr">
        <is>
          <t>TXN-1042</t>
        </is>
      </c>
      <c r="B374" s="13" t="inlineStr">
        <is>
          <t>2026-09-14</t>
        </is>
      </c>
      <c r="C374" s="13" t="inlineStr">
        <is>
          <t>prj-global-logistics-102</t>
        </is>
      </c>
      <c r="D374" s="14" t="inlineStr">
        <is>
          <t>Global Logistics</t>
        </is>
      </c>
      <c r="E374" s="13" t="inlineStr">
        <is>
          <t>asia-east1</t>
        </is>
      </c>
      <c r="F374" s="14" t="inlineStr">
        <is>
          <t>Cloud SQL</t>
        </is>
      </c>
      <c r="G374" s="14" t="inlineStr">
        <is>
          <t>PostgreSQL High Availability</t>
        </is>
      </c>
      <c r="H374" s="15" t="n">
        <v>5560.7</v>
      </c>
      <c r="I374" s="13" t="inlineStr">
        <is>
          <t>Active</t>
        </is>
      </c>
    </row>
    <row r="375">
      <c r="A375" s="13" t="inlineStr">
        <is>
          <t>TXN-1377</t>
        </is>
      </c>
      <c r="B375" s="13" t="inlineStr">
        <is>
          <t>2026-09-23</t>
        </is>
      </c>
      <c r="C375" s="13" t="inlineStr">
        <is>
          <t>prj-global-logistics-104</t>
        </is>
      </c>
      <c r="D375" s="14" t="inlineStr">
        <is>
          <t>Global Logistics</t>
        </is>
      </c>
      <c r="E375" s="13" t="inlineStr">
        <is>
          <t>us-east4</t>
        </is>
      </c>
      <c r="F375" s="14" t="inlineStr">
        <is>
          <t>BigQuery</t>
        </is>
      </c>
      <c r="G375" s="14" t="inlineStr">
        <is>
          <t>Promotional Credit / Outage SLA Refund</t>
        </is>
      </c>
      <c r="H375" s="15" t="n">
        <v>-3492.62</v>
      </c>
      <c r="I375" s="13" t="inlineStr">
        <is>
          <t>Active</t>
        </is>
      </c>
    </row>
    <row r="376">
      <c r="A376" s="13" t="inlineStr">
        <is>
          <t>TXN-1229</t>
        </is>
      </c>
      <c r="B376" s="13" t="inlineStr">
        <is>
          <t>2026-09-22</t>
        </is>
      </c>
      <c r="C376" s="13" t="inlineStr">
        <is>
          <t>prj-hardware-and-iot-104</t>
        </is>
      </c>
      <c r="D376" s="14" t="inlineStr">
        <is>
          <t>Hardware &amp; IoT</t>
        </is>
      </c>
      <c r="E376" s="13" t="inlineStr">
        <is>
          <t>asia-east1</t>
        </is>
      </c>
      <c r="F376" s="14" t="inlineStr">
        <is>
          <t>Cloud Storage</t>
        </is>
      </c>
      <c r="G376" s="14" t="inlineStr">
        <is>
          <t>Standard Storage GB</t>
        </is>
      </c>
      <c r="H376" s="15" t="n">
        <v>1374.55</v>
      </c>
      <c r="I376" s="13" t="inlineStr">
        <is>
          <t>Active</t>
        </is>
      </c>
    </row>
    <row r="377">
      <c r="A377" s="13" t="inlineStr">
        <is>
          <t>TXN-1281</t>
        </is>
      </c>
      <c r="B377" s="13" t="inlineStr">
        <is>
          <t>2026-09-06</t>
        </is>
      </c>
      <c r="C377" s="13" t="inlineStr">
        <is>
          <t>prj-e-commerce-engine-101</t>
        </is>
      </c>
      <c r="D377" s="14" t="inlineStr">
        <is>
          <t>E-Commerce Engine</t>
        </is>
      </c>
      <c r="E377" s="13" t="inlineStr">
        <is>
          <t>europe-west1</t>
        </is>
      </c>
      <c r="F377" s="14" t="inlineStr">
        <is>
          <t>Cloud SQL</t>
        </is>
      </c>
      <c r="G377" s="14" t="inlineStr">
        <is>
          <t>PostgreSQL High Availability</t>
        </is>
      </c>
      <c r="H377" s="15" t="n">
        <v>3938.01</v>
      </c>
      <c r="I377" s="13" t="inlineStr">
        <is>
          <t>Active</t>
        </is>
      </c>
    </row>
    <row r="378">
      <c r="A378" s="13" t="inlineStr">
        <is>
          <t>TXN-1103</t>
        </is>
      </c>
      <c r="B378" s="13" t="inlineStr">
        <is>
          <t>2026-09-12</t>
        </is>
      </c>
      <c r="C378" s="13" t="inlineStr">
        <is>
          <t>prj-hardware-and-iot-105</t>
        </is>
      </c>
      <c r="D378" s="14" t="inlineStr">
        <is>
          <t>Hardware &amp; IoT</t>
        </is>
      </c>
      <c r="E378" s="13" t="inlineStr">
        <is>
          <t>us-east4</t>
        </is>
      </c>
      <c r="F378" s="14" t="inlineStr">
        <is>
          <t>Cloud SQL</t>
        </is>
      </c>
      <c r="G378" s="14" t="inlineStr">
        <is>
          <t>Promotional Credit / Outage SLA Refund</t>
        </is>
      </c>
      <c r="H378" s="15" t="n">
        <v>-2911.33</v>
      </c>
      <c r="I378" s="13" t="inlineStr">
        <is>
          <t>Active</t>
        </is>
      </c>
    </row>
    <row r="379">
      <c r="A379" s="13" t="inlineStr">
        <is>
          <t>TXN-1092</t>
        </is>
      </c>
      <c r="B379" s="13" t="inlineStr">
        <is>
          <t>2026-09-23</t>
        </is>
      </c>
      <c r="C379" s="13" t="inlineStr">
        <is>
          <t>prj-e-commerce-engine-105</t>
        </is>
      </c>
      <c r="D379" s="14" t="inlineStr">
        <is>
          <t>E-Commerce Engine</t>
        </is>
      </c>
      <c r="E379" s="13" t="inlineStr">
        <is>
          <t>us-east4</t>
        </is>
      </c>
      <c r="F379" s="14" t="inlineStr">
        <is>
          <t>Compute Engine</t>
        </is>
      </c>
      <c r="G379" s="14" t="inlineStr">
        <is>
          <t>N2 Standard 8 vCPU</t>
        </is>
      </c>
      <c r="H379" s="15" t="n">
        <v>4496.79</v>
      </c>
      <c r="I379" s="13" t="inlineStr">
        <is>
          <t>Active</t>
        </is>
      </c>
    </row>
    <row r="380">
      <c r="A380" s="13" t="inlineStr">
        <is>
          <t>TXN-1352</t>
        </is>
      </c>
      <c r="B380" s="13" t="inlineStr">
        <is>
          <t>2026-09-16</t>
        </is>
      </c>
      <c r="C380" s="13" t="inlineStr">
        <is>
          <t>prj-enterprise-saas-105</t>
        </is>
      </c>
      <c r="D380" s="14" t="inlineStr">
        <is>
          <t>Enterprise SaaS</t>
        </is>
      </c>
      <c r="E380" s="13" t="inlineStr">
        <is>
          <t>us-central1</t>
        </is>
      </c>
      <c r="F380" s="14" t="inlineStr">
        <is>
          <t>Cloud SQL</t>
        </is>
      </c>
      <c r="G380" s="14" t="inlineStr">
        <is>
          <t>PostgreSQL High Availability</t>
        </is>
      </c>
      <c r="H380" s="15" t="n">
        <v>4100.31</v>
      </c>
      <c r="I380" s="13" t="inlineStr">
        <is>
          <t>Active</t>
        </is>
      </c>
    </row>
    <row r="381">
      <c r="A381" s="13" t="inlineStr">
        <is>
          <t>TXN-1072</t>
        </is>
      </c>
      <c r="B381" s="13" t="inlineStr">
        <is>
          <t>2026-09-27</t>
        </is>
      </c>
      <c r="C381" s="13" t="inlineStr">
        <is>
          <t>prj-pro-services-102</t>
        </is>
      </c>
      <c r="D381" s="14" t="inlineStr">
        <is>
          <t>Pro Services</t>
        </is>
      </c>
      <c r="E381" s="13" t="inlineStr">
        <is>
          <t>asia-east1</t>
        </is>
      </c>
      <c r="F381" s="14" t="inlineStr">
        <is>
          <t>BigQuery</t>
        </is>
      </c>
      <c r="G381" s="14" t="inlineStr">
        <is>
          <t>Analysis Slot Usage</t>
        </is>
      </c>
      <c r="H381" s="15" t="n">
        <v>5226.08</v>
      </c>
      <c r="I381" s="13" t="inlineStr">
        <is>
          <t>Active</t>
        </is>
      </c>
    </row>
    <row r="382">
      <c r="A382" s="13" t="inlineStr">
        <is>
          <t>TXN-1459</t>
        </is>
      </c>
      <c r="B382" s="13" t="inlineStr">
        <is>
          <t>2026-09-11</t>
        </is>
      </c>
      <c r="C382" s="13" t="inlineStr">
        <is>
          <t>prj-e-commerce-engine-101</t>
        </is>
      </c>
      <c r="D382" s="14" t="inlineStr">
        <is>
          <t>E-Commerce Engine</t>
        </is>
      </c>
      <c r="E382" s="13" t="inlineStr">
        <is>
          <t>us-central1</t>
        </is>
      </c>
      <c r="F382" s="14" t="inlineStr">
        <is>
          <t>Google Kubernetes Engine</t>
        </is>
      </c>
      <c r="G382" s="14" t="inlineStr">
        <is>
          <t>Autopilot Pod Compute</t>
        </is>
      </c>
      <c r="H382" s="15" t="n">
        <v>6378.6</v>
      </c>
      <c r="I382" s="13" t="inlineStr">
        <is>
          <t>Active</t>
        </is>
      </c>
    </row>
    <row r="383">
      <c r="A383" s="13" t="inlineStr">
        <is>
          <t>TXN-1236</t>
        </is>
      </c>
      <c r="B383" s="13" t="inlineStr">
        <is>
          <t>2026-09-09</t>
        </is>
      </c>
      <c r="C383" s="13" t="inlineStr">
        <is>
          <t>prj-e-commerce-engine-105</t>
        </is>
      </c>
      <c r="D383" s="14" t="inlineStr">
        <is>
          <t>E-Commerce Engine</t>
        </is>
      </c>
      <c r="E383" s="13" t="inlineStr">
        <is>
          <t>europe-west1</t>
        </is>
      </c>
      <c r="F383" s="14" t="inlineStr">
        <is>
          <t>Cloud SQL</t>
        </is>
      </c>
      <c r="G383" s="14" t="inlineStr">
        <is>
          <t>PostgreSQL High Availability</t>
        </is>
      </c>
      <c r="H383" s="15" t="n">
        <v>5910.91</v>
      </c>
      <c r="I383" s="13" t="inlineStr">
        <is>
          <t>Active</t>
        </is>
      </c>
    </row>
    <row r="384">
      <c r="A384" s="13" t="inlineStr">
        <is>
          <t>TXN-1310</t>
        </is>
      </c>
      <c r="B384" s="13" t="inlineStr">
        <is>
          <t>2026-09-11</t>
        </is>
      </c>
      <c r="C384" s="13" t="inlineStr">
        <is>
          <t>prj-hardware-and-iot-104</t>
        </is>
      </c>
      <c r="D384" s="14" t="inlineStr">
        <is>
          <t>Hardware &amp; IoT</t>
        </is>
      </c>
      <c r="E384" s="13" t="inlineStr">
        <is>
          <t>us-central1</t>
        </is>
      </c>
      <c r="F384" s="14" t="inlineStr">
        <is>
          <t>BigQuery</t>
        </is>
      </c>
      <c r="G384" s="14" t="inlineStr">
        <is>
          <t>Analysis Slot Usage</t>
        </is>
      </c>
      <c r="H384" s="15" t="n">
        <v>8892.18</v>
      </c>
      <c r="I384" s="13" t="inlineStr">
        <is>
          <t>Active</t>
        </is>
      </c>
    </row>
    <row r="385">
      <c r="A385" s="13" t="inlineStr">
        <is>
          <t>TXN-1313</t>
        </is>
      </c>
      <c r="B385" s="13" t="inlineStr">
        <is>
          <t>2026-09-03</t>
        </is>
      </c>
      <c r="C385" s="13" t="inlineStr">
        <is>
          <t>prj-pro-services-105</t>
        </is>
      </c>
      <c r="D385" s="14" t="inlineStr">
        <is>
          <t>Pro Services</t>
        </is>
      </c>
      <c r="E385" s="13" t="inlineStr">
        <is>
          <t>southamerica-east1</t>
        </is>
      </c>
      <c r="F385" s="14" t="inlineStr">
        <is>
          <t>Cloud Storage</t>
        </is>
      </c>
      <c r="G385" s="14" t="inlineStr">
        <is>
          <t>Standard Storage GB</t>
        </is>
      </c>
      <c r="H385" s="15" t="n">
        <v>1963.79</v>
      </c>
      <c r="I385" s="13" t="inlineStr">
        <is>
          <t>Active</t>
        </is>
      </c>
    </row>
    <row r="386">
      <c r="A386" s="13" t="inlineStr">
        <is>
          <t>TXN-1362</t>
        </is>
      </c>
      <c r="B386" s="13" t="inlineStr">
        <is>
          <t>2026-09-17</t>
        </is>
      </c>
      <c r="C386" s="13" t="inlineStr">
        <is>
          <t>prj-pro-services-105</t>
        </is>
      </c>
      <c r="D386" s="14" t="inlineStr">
        <is>
          <t>Pro Services</t>
        </is>
      </c>
      <c r="E386" s="13" t="inlineStr">
        <is>
          <t>europe-west1</t>
        </is>
      </c>
      <c r="F386" s="14" t="inlineStr">
        <is>
          <t>Google Kubernetes Engine</t>
        </is>
      </c>
      <c r="G386" s="14" t="inlineStr">
        <is>
          <t>Autopilot Pod Compute</t>
        </is>
      </c>
      <c r="H386" s="15" t="n">
        <v>5838.69</v>
      </c>
      <c r="I386" s="13" t="inlineStr">
        <is>
          <t>Active</t>
        </is>
      </c>
    </row>
    <row r="387">
      <c r="A387" s="13" t="inlineStr">
        <is>
          <t>TXN-1347</t>
        </is>
      </c>
      <c r="B387" s="13" t="inlineStr">
        <is>
          <t>2026-09-05</t>
        </is>
      </c>
      <c r="C387" s="13" t="inlineStr">
        <is>
          <t>prj-hardware-and-iot-101</t>
        </is>
      </c>
      <c r="D387" s="14" t="inlineStr">
        <is>
          <t>Hardware &amp; IoT</t>
        </is>
      </c>
      <c r="E387" s="13" t="inlineStr">
        <is>
          <t>southamerica-east1</t>
        </is>
      </c>
      <c r="F387" s="14" t="inlineStr">
        <is>
          <t>Google Kubernetes Engine</t>
        </is>
      </c>
      <c r="G387" s="14" t="inlineStr">
        <is>
          <t>Autopilot Pod Compute</t>
        </is>
      </c>
      <c r="H387" s="15" t="n">
        <v>6914.7</v>
      </c>
      <c r="I387" s="13" t="inlineStr">
        <is>
          <t>Active</t>
        </is>
      </c>
    </row>
    <row r="388">
      <c r="A388" s="13" t="inlineStr">
        <is>
          <t>TXN-1061</t>
        </is>
      </c>
      <c r="B388" s="13" t="inlineStr">
        <is>
          <t>2026-09-07</t>
        </is>
      </c>
      <c r="C388" s="13" t="inlineStr">
        <is>
          <t>prj-hardware-and-iot-105</t>
        </is>
      </c>
      <c r="D388" s="14" t="inlineStr">
        <is>
          <t>Hardware &amp; IoT</t>
        </is>
      </c>
      <c r="E388" s="13" t="inlineStr">
        <is>
          <t>europe-west1</t>
        </is>
      </c>
      <c r="F388" s="14" t="inlineStr">
        <is>
          <t>BigQuery</t>
        </is>
      </c>
      <c r="G388" s="14" t="inlineStr">
        <is>
          <t>Analysis Slot Usage</t>
        </is>
      </c>
      <c r="H388" s="15" t="n">
        <v>6686.93</v>
      </c>
      <c r="I388" s="13" t="inlineStr">
        <is>
          <t>Active</t>
        </is>
      </c>
    </row>
    <row r="389">
      <c r="A389" s="13" t="inlineStr">
        <is>
          <t>TXN-1227</t>
        </is>
      </c>
      <c r="B389" s="13" t="inlineStr">
        <is>
          <t>2026-09-07</t>
        </is>
      </c>
      <c r="C389" s="13" t="inlineStr">
        <is>
          <t>prj-pro-services-104</t>
        </is>
      </c>
      <c r="D389" s="14" t="inlineStr">
        <is>
          <t>Pro Services</t>
        </is>
      </c>
      <c r="E389" s="13" t="inlineStr">
        <is>
          <t>us-east4</t>
        </is>
      </c>
      <c r="F389" s="14" t="inlineStr">
        <is>
          <t>Cloud Storage</t>
        </is>
      </c>
      <c r="G389" s="14" t="inlineStr">
        <is>
          <t>Standard Storage GB</t>
        </is>
      </c>
      <c r="H389" s="15" t="n">
        <v>2081.22</v>
      </c>
      <c r="I389" s="13" t="inlineStr">
        <is>
          <t>Active</t>
        </is>
      </c>
    </row>
    <row r="390">
      <c r="A390" s="13" t="inlineStr">
        <is>
          <t>TXN-1360</t>
        </is>
      </c>
      <c r="B390" s="13" t="inlineStr">
        <is>
          <t>2026-09-25</t>
        </is>
      </c>
      <c r="C390" s="13" t="inlineStr">
        <is>
          <t>prj-global-logistics-105</t>
        </is>
      </c>
      <c r="D390" s="14" t="inlineStr">
        <is>
          <t>Global Logistics</t>
        </is>
      </c>
      <c r="E390" s="13" t="inlineStr">
        <is>
          <t>europe-west1</t>
        </is>
      </c>
      <c r="F390" s="14" t="inlineStr">
        <is>
          <t>Google Kubernetes Engine</t>
        </is>
      </c>
      <c r="G390" s="14" t="inlineStr">
        <is>
          <t>Autopilot Pod Compute</t>
        </is>
      </c>
      <c r="H390" s="15" t="n">
        <v>7408.32</v>
      </c>
      <c r="I390" s="13" t="inlineStr">
        <is>
          <t>Active</t>
        </is>
      </c>
    </row>
    <row r="391">
      <c r="A391" s="13" t="inlineStr">
        <is>
          <t>TXN-1427</t>
        </is>
      </c>
      <c r="B391" s="13" t="inlineStr">
        <is>
          <t>2026-09-19</t>
        </is>
      </c>
      <c r="C391" s="13" t="inlineStr">
        <is>
          <t>prj-global-logistics-104</t>
        </is>
      </c>
      <c r="D391" s="14" t="inlineStr">
        <is>
          <t>Global Logistics</t>
        </is>
      </c>
      <c r="E391" s="13" t="inlineStr">
        <is>
          <t>us-east4</t>
        </is>
      </c>
      <c r="F391" s="14" t="inlineStr">
        <is>
          <t>Google Kubernetes Engine</t>
        </is>
      </c>
      <c r="G391" s="14" t="inlineStr">
        <is>
          <t>Autopilot Pod Compute</t>
        </is>
      </c>
      <c r="H391" s="15" t="n">
        <v>5281.3</v>
      </c>
      <c r="I391" s="13" t="inlineStr">
        <is>
          <t>Active</t>
        </is>
      </c>
    </row>
    <row r="392">
      <c r="A392" s="13" t="inlineStr">
        <is>
          <t>TXN-1178</t>
        </is>
      </c>
      <c r="B392" s="13" t="inlineStr">
        <is>
          <t>2026-09-05</t>
        </is>
      </c>
      <c r="C392" s="13" t="inlineStr">
        <is>
          <t>prj-pro-services-104</t>
        </is>
      </c>
      <c r="D392" s="14" t="inlineStr">
        <is>
          <t>Pro Services</t>
        </is>
      </c>
      <c r="E392" s="13" t="inlineStr">
        <is>
          <t>europe-west1</t>
        </is>
      </c>
      <c r="F392" s="14" t="inlineStr">
        <is>
          <t>Compute Engine</t>
        </is>
      </c>
      <c r="G392" s="14" t="inlineStr">
        <is>
          <t>N2 Standard 8 vCPU</t>
        </is>
      </c>
      <c r="H392" s="15" t="n">
        <v>6626.1</v>
      </c>
      <c r="I392" s="13" t="inlineStr">
        <is>
          <t>Active</t>
        </is>
      </c>
    </row>
    <row r="393">
      <c r="A393" s="13" t="inlineStr">
        <is>
          <t>TXN-1295</t>
        </is>
      </c>
      <c r="B393" s="13" t="inlineStr">
        <is>
          <t>2026-09-18</t>
        </is>
      </c>
      <c r="C393" s="13" t="inlineStr">
        <is>
          <t>prj-e-commerce-engine-101</t>
        </is>
      </c>
      <c r="D393" s="14" t="inlineStr">
        <is>
          <t>E-Commerce Engine</t>
        </is>
      </c>
      <c r="E393" s="13" t="inlineStr">
        <is>
          <t>southamerica-east1</t>
        </is>
      </c>
      <c r="F393" s="14" t="inlineStr">
        <is>
          <t>Cloud SQL</t>
        </is>
      </c>
      <c r="G393" s="14" t="inlineStr">
        <is>
          <t>Promotional Credit / Outage SLA Refund</t>
        </is>
      </c>
      <c r="H393" s="15" t="n">
        <v>-2763.48</v>
      </c>
      <c r="I393" s="13" t="inlineStr">
        <is>
          <t>Active</t>
        </is>
      </c>
    </row>
    <row r="394">
      <c r="A394" s="13" t="inlineStr">
        <is>
          <t>TXN-1017</t>
        </is>
      </c>
      <c r="B394" s="13" t="inlineStr">
        <is>
          <t>2026-09-21</t>
        </is>
      </c>
      <c r="C394" s="13" t="inlineStr">
        <is>
          <t>prj-pro-services-102</t>
        </is>
      </c>
      <c r="D394" s="14" t="inlineStr">
        <is>
          <t>Pro Services</t>
        </is>
      </c>
      <c r="E394" s="13" t="inlineStr">
        <is>
          <t>europe-west1</t>
        </is>
      </c>
      <c r="F394" s="14" t="inlineStr">
        <is>
          <t>BigQuery</t>
        </is>
      </c>
      <c r="G394" s="14" t="inlineStr">
        <is>
          <t>Analysis Slot Usage</t>
        </is>
      </c>
      <c r="H394" s="15" t="n">
        <v>5356.45</v>
      </c>
      <c r="I394" s="13" t="inlineStr">
        <is>
          <t>Active</t>
        </is>
      </c>
    </row>
    <row r="395">
      <c r="A395" s="13" t="inlineStr">
        <is>
          <t>TXN-1411</t>
        </is>
      </c>
      <c r="B395" s="13" t="inlineStr">
        <is>
          <t>2026-09-23</t>
        </is>
      </c>
      <c r="C395" s="13" t="inlineStr">
        <is>
          <t>prj-enterprise-saas-101</t>
        </is>
      </c>
      <c r="D395" s="14" t="inlineStr">
        <is>
          <t>Enterprise SaaS</t>
        </is>
      </c>
      <c r="E395" s="13" t="inlineStr">
        <is>
          <t>southamerica-east1</t>
        </is>
      </c>
      <c r="F395" s="14" t="inlineStr">
        <is>
          <t>Compute Engine</t>
        </is>
      </c>
      <c r="G395" s="14" t="inlineStr">
        <is>
          <t>N2 Standard 8 vCPU</t>
        </is>
      </c>
      <c r="H395" s="15" t="n">
        <v>7444.55</v>
      </c>
      <c r="I395" s="13" t="inlineStr">
        <is>
          <t>Active</t>
        </is>
      </c>
    </row>
    <row r="396">
      <c r="A396" s="13" t="inlineStr">
        <is>
          <t>TXN-1044</t>
        </is>
      </c>
      <c r="B396" s="13" t="inlineStr">
        <is>
          <t>2026-09-18</t>
        </is>
      </c>
      <c r="C396" s="13" t="inlineStr">
        <is>
          <t>prj-enterprise-saas-102</t>
        </is>
      </c>
      <c r="D396" s="14" t="inlineStr">
        <is>
          <t>Enterprise SaaS</t>
        </is>
      </c>
      <c r="E396" s="13" t="inlineStr">
        <is>
          <t>us-central1</t>
        </is>
      </c>
      <c r="F396" s="14" t="inlineStr">
        <is>
          <t>Cloud Storage</t>
        </is>
      </c>
      <c r="G396" s="14" t="inlineStr">
        <is>
          <t>Standard Storage GB</t>
        </is>
      </c>
      <c r="H396" s="15" t="n">
        <v>2256.68</v>
      </c>
      <c r="I396" s="13" t="inlineStr">
        <is>
          <t>Active</t>
        </is>
      </c>
    </row>
    <row r="397">
      <c r="A397" s="13" t="inlineStr">
        <is>
          <t>TXN-1430</t>
        </is>
      </c>
      <c r="B397" s="13" t="inlineStr">
        <is>
          <t>2026-09-08</t>
        </is>
      </c>
      <c r="C397" s="13" t="inlineStr">
        <is>
          <t>prj-hardware-and-iot-101</t>
        </is>
      </c>
      <c r="D397" s="14" t="inlineStr">
        <is>
          <t>Hardware &amp; IoT</t>
        </is>
      </c>
      <c r="E397" s="13" t="inlineStr">
        <is>
          <t>europe-west1</t>
        </is>
      </c>
      <c r="F397" s="14" t="inlineStr">
        <is>
          <t>Cloud SQL</t>
        </is>
      </c>
      <c r="G397" s="14" t="inlineStr">
        <is>
          <t>PostgreSQL High Availability</t>
        </is>
      </c>
      <c r="H397" s="15" t="n">
        <v>4468.35</v>
      </c>
      <c r="I397" s="13" t="inlineStr">
        <is>
          <t>Active</t>
        </is>
      </c>
    </row>
    <row r="398">
      <c r="A398" s="13" t="inlineStr">
        <is>
          <t>TXN-1350</t>
        </is>
      </c>
      <c r="B398" s="13" t="inlineStr">
        <is>
          <t>2026-09-28</t>
        </is>
      </c>
      <c r="C398" s="13" t="inlineStr">
        <is>
          <t>prj-global-logistics-103</t>
        </is>
      </c>
      <c r="D398" s="14" t="inlineStr">
        <is>
          <t>Global Logistics</t>
        </is>
      </c>
      <c r="E398" s="13" t="inlineStr">
        <is>
          <t>asia-east1</t>
        </is>
      </c>
      <c r="F398" s="14" t="inlineStr">
        <is>
          <t>Google Kubernetes Engine</t>
        </is>
      </c>
      <c r="G398" s="14" t="inlineStr">
        <is>
          <t>Autopilot Pod Compute</t>
        </is>
      </c>
      <c r="H398" s="15" t="n">
        <v>6139</v>
      </c>
      <c r="I398" s="13" t="inlineStr">
        <is>
          <t>Active</t>
        </is>
      </c>
    </row>
    <row r="399">
      <c r="A399" s="13" t="inlineStr">
        <is>
          <t>TXN-1272</t>
        </is>
      </c>
      <c r="B399" s="13" t="inlineStr">
        <is>
          <t>2026-09-02</t>
        </is>
      </c>
      <c r="C399" s="13" t="inlineStr">
        <is>
          <t>prj-hardware-and-iot-101</t>
        </is>
      </c>
      <c r="D399" s="14" t="inlineStr">
        <is>
          <t>Hardware &amp; IoT</t>
        </is>
      </c>
      <c r="E399" s="13" t="inlineStr">
        <is>
          <t>us-central1</t>
        </is>
      </c>
      <c r="F399" s="14" t="inlineStr">
        <is>
          <t>BigQuery</t>
        </is>
      </c>
      <c r="G399" s="14" t="inlineStr">
        <is>
          <t>Analysis Slot Usage</t>
        </is>
      </c>
      <c r="H399" s="15" t="n">
        <v>7068.8</v>
      </c>
      <c r="I399" s="13" t="inlineStr">
        <is>
          <t>Active</t>
        </is>
      </c>
    </row>
    <row r="400">
      <c r="A400" s="13" t="inlineStr">
        <is>
          <t>TXN-1354</t>
        </is>
      </c>
      <c r="B400" s="13" t="inlineStr">
        <is>
          <t>2026-09-16</t>
        </is>
      </c>
      <c r="C400" s="13" t="inlineStr">
        <is>
          <t>prj-e-commerce-engine-105</t>
        </is>
      </c>
      <c r="D400" s="14" t="inlineStr">
        <is>
          <t>E-Commerce Engine</t>
        </is>
      </c>
      <c r="E400" s="13" t="inlineStr">
        <is>
          <t>us-east4</t>
        </is>
      </c>
      <c r="F400" s="14" t="inlineStr">
        <is>
          <t>BigQuery</t>
        </is>
      </c>
      <c r="G400" s="14" t="inlineStr">
        <is>
          <t>Analysis Slot Usage</t>
        </is>
      </c>
      <c r="H400" s="15" t="n">
        <v>4044.98</v>
      </c>
      <c r="I400" s="13" t="inlineStr">
        <is>
          <t>Active</t>
        </is>
      </c>
    </row>
    <row r="401">
      <c r="A401" s="13" t="inlineStr">
        <is>
          <t>TXN-1413</t>
        </is>
      </c>
      <c r="B401" s="13" t="inlineStr">
        <is>
          <t>2026-09-25</t>
        </is>
      </c>
      <c r="C401" s="13" t="inlineStr">
        <is>
          <t>prj-pro-services-104</t>
        </is>
      </c>
      <c r="D401" s="14" t="inlineStr">
        <is>
          <t>Pro Services</t>
        </is>
      </c>
      <c r="E401" s="13" t="inlineStr">
        <is>
          <t>asia-east1</t>
        </is>
      </c>
      <c r="F401" s="14" t="inlineStr">
        <is>
          <t>Cloud SQL</t>
        </is>
      </c>
      <c r="G401" s="14" t="inlineStr">
        <is>
          <t>PostgreSQL High Availability</t>
        </is>
      </c>
      <c r="H401" s="15" t="n">
        <v>5543.67</v>
      </c>
      <c r="I401" s="13" t="inlineStr">
        <is>
          <t>Active</t>
        </is>
      </c>
    </row>
    <row r="402">
      <c r="A402" s="13" t="inlineStr">
        <is>
          <t>TXN-1160</t>
        </is>
      </c>
      <c r="B402" s="13" t="inlineStr">
        <is>
          <t>2026-09-03</t>
        </is>
      </c>
      <c r="C402" s="13" t="inlineStr">
        <is>
          <t>prj-hardware-and-iot-101</t>
        </is>
      </c>
      <c r="D402" s="14" t="inlineStr">
        <is>
          <t>Hardware &amp; IoT</t>
        </is>
      </c>
      <c r="E402" s="13" t="inlineStr">
        <is>
          <t>asia-east1</t>
        </is>
      </c>
      <c r="F402" s="14" t="inlineStr">
        <is>
          <t>BigQuery</t>
        </is>
      </c>
      <c r="G402" s="14" t="inlineStr">
        <is>
          <t>Analysis Slot Usage</t>
        </is>
      </c>
      <c r="H402" s="15" t="n">
        <v>9336.02</v>
      </c>
      <c r="I402" s="13" t="inlineStr">
        <is>
          <t>Active</t>
        </is>
      </c>
    </row>
    <row r="403">
      <c r="A403" s="13" t="inlineStr">
        <is>
          <t>TXN-1262</t>
        </is>
      </c>
      <c r="B403" s="13" t="inlineStr">
        <is>
          <t>2026-09-21</t>
        </is>
      </c>
      <c r="C403" s="13" t="inlineStr">
        <is>
          <t>prj-hardware-and-iot-101</t>
        </is>
      </c>
      <c r="D403" s="14" t="inlineStr">
        <is>
          <t>Hardware &amp; IoT</t>
        </is>
      </c>
      <c r="E403" s="13" t="inlineStr">
        <is>
          <t>europe-west1</t>
        </is>
      </c>
      <c r="F403" s="14" t="inlineStr">
        <is>
          <t>Cloud SQL</t>
        </is>
      </c>
      <c r="G403" s="14" t="inlineStr">
        <is>
          <t>PostgreSQL High Availability</t>
        </is>
      </c>
      <c r="H403" s="15" t="n">
        <v>4141.22</v>
      </c>
      <c r="I403" s="13" t="inlineStr">
        <is>
          <t>Active</t>
        </is>
      </c>
    </row>
    <row r="404">
      <c r="A404" s="13" t="inlineStr">
        <is>
          <t>TXN-1256</t>
        </is>
      </c>
      <c r="B404" s="13" t="inlineStr">
        <is>
          <t>2026-09-03</t>
        </is>
      </c>
      <c r="C404" s="13" t="inlineStr">
        <is>
          <t>prj-pro-services-102</t>
        </is>
      </c>
      <c r="D404" s="14" t="inlineStr">
        <is>
          <t>Pro Services</t>
        </is>
      </c>
      <c r="E404" s="13" t="inlineStr">
        <is>
          <t>asia-east1</t>
        </is>
      </c>
      <c r="F404" s="14" t="inlineStr">
        <is>
          <t>BigQuery</t>
        </is>
      </c>
      <c r="G404" s="14" t="inlineStr">
        <is>
          <t>Analysis Slot Usage</t>
        </is>
      </c>
      <c r="H404" s="15" t="n">
        <v>5831.88</v>
      </c>
      <c r="I404" s="13" t="inlineStr">
        <is>
          <t>Active</t>
        </is>
      </c>
    </row>
    <row r="405">
      <c r="A405" s="13" t="inlineStr">
        <is>
          <t>TXN-1086</t>
        </is>
      </c>
      <c r="B405" s="13" t="inlineStr">
        <is>
          <t>2026-09-07</t>
        </is>
      </c>
      <c r="C405" s="13" t="inlineStr">
        <is>
          <t>prj-e-commerce-engine-101</t>
        </is>
      </c>
      <c r="D405" s="14" t="inlineStr">
        <is>
          <t>E-Commerce Engine</t>
        </is>
      </c>
      <c r="E405" s="13" t="inlineStr">
        <is>
          <t>us-east4</t>
        </is>
      </c>
      <c r="F405" s="14" t="inlineStr">
        <is>
          <t>Cloud Storage</t>
        </is>
      </c>
      <c r="G405" s="14" t="inlineStr">
        <is>
          <t>Standard Storage GB</t>
        </is>
      </c>
      <c r="H405" s="15" t="n">
        <v>1937.84</v>
      </c>
      <c r="I405" s="13" t="inlineStr">
        <is>
          <t>Active</t>
        </is>
      </c>
    </row>
    <row r="406">
      <c r="A406" s="13" t="inlineStr">
        <is>
          <t>TXN-1244</t>
        </is>
      </c>
      <c r="B406" s="13" t="inlineStr">
        <is>
          <t>2026-09-09</t>
        </is>
      </c>
      <c r="C406" s="13" t="inlineStr">
        <is>
          <t>prj-pro-services-105</t>
        </is>
      </c>
      <c r="D406" s="14" t="inlineStr">
        <is>
          <t>Pro Services</t>
        </is>
      </c>
      <c r="E406" s="13" t="inlineStr">
        <is>
          <t>us-east4</t>
        </is>
      </c>
      <c r="F406" s="14" t="inlineStr">
        <is>
          <t>Cloud SQL</t>
        </is>
      </c>
      <c r="G406" s="14" t="inlineStr">
        <is>
          <t>PostgreSQL High Availability</t>
        </is>
      </c>
      <c r="H406" s="15" t="n">
        <v>4047.15</v>
      </c>
      <c r="I406" s="13" t="inlineStr">
        <is>
          <t>Active</t>
        </is>
      </c>
    </row>
    <row r="407">
      <c r="A407" s="13" t="inlineStr">
        <is>
          <t>TXN-1292</t>
        </is>
      </c>
      <c r="B407" s="13" t="inlineStr">
        <is>
          <t>2026-09-30</t>
        </is>
      </c>
      <c r="C407" s="13" t="inlineStr">
        <is>
          <t>prj-enterprise-saas-102</t>
        </is>
      </c>
      <c r="D407" s="14" t="inlineStr">
        <is>
          <t>Enterprise SaaS</t>
        </is>
      </c>
      <c r="E407" s="13" t="inlineStr">
        <is>
          <t>asia-east1</t>
        </is>
      </c>
      <c r="F407" s="14" t="inlineStr">
        <is>
          <t>Cloud Storage</t>
        </is>
      </c>
      <c r="G407" s="14" t="inlineStr">
        <is>
          <t>Standard Storage GB</t>
        </is>
      </c>
      <c r="H407" s="15" t="n">
        <v>1299.59</v>
      </c>
      <c r="I407" s="13" t="inlineStr">
        <is>
          <t>Active</t>
        </is>
      </c>
    </row>
    <row r="408">
      <c r="A408" s="13" t="inlineStr">
        <is>
          <t>TXN-1335</t>
        </is>
      </c>
      <c r="B408" s="13" t="inlineStr">
        <is>
          <t>2026-09-05</t>
        </is>
      </c>
      <c r="C408" s="13" t="inlineStr">
        <is>
          <t>prj-pro-services-101</t>
        </is>
      </c>
      <c r="D408" s="14" t="inlineStr">
        <is>
          <t>Pro Services</t>
        </is>
      </c>
      <c r="E408" s="13" t="inlineStr">
        <is>
          <t>southamerica-east1</t>
        </is>
      </c>
      <c r="F408" s="14" t="inlineStr">
        <is>
          <t>Compute Engine</t>
        </is>
      </c>
      <c r="G408" s="14" t="inlineStr">
        <is>
          <t>N2 Standard 8 vCPU</t>
        </is>
      </c>
      <c r="H408" s="15" t="n">
        <v>5572.41</v>
      </c>
      <c r="I408" s="13" t="inlineStr">
        <is>
          <t>Active</t>
        </is>
      </c>
    </row>
    <row r="409">
      <c r="A409" s="13" t="inlineStr">
        <is>
          <t>TXN-1186</t>
        </is>
      </c>
      <c r="B409" s="13" t="inlineStr">
        <is>
          <t>2026-09-28</t>
        </is>
      </c>
      <c r="C409" s="13" t="inlineStr">
        <is>
          <t>prj-pro-services-104</t>
        </is>
      </c>
      <c r="D409" s="14" t="inlineStr">
        <is>
          <t>Pro Services</t>
        </is>
      </c>
      <c r="E409" s="13" t="inlineStr">
        <is>
          <t>southamerica-east1</t>
        </is>
      </c>
      <c r="F409" s="14" t="inlineStr">
        <is>
          <t>Cloud Storage</t>
        </is>
      </c>
      <c r="G409" s="14" t="inlineStr">
        <is>
          <t>Standard Storage GB</t>
        </is>
      </c>
      <c r="H409" s="15" t="n">
        <v>3573.36</v>
      </c>
      <c r="I409" s="13" t="inlineStr">
        <is>
          <t>Active</t>
        </is>
      </c>
    </row>
    <row r="410">
      <c r="A410" s="13" t="inlineStr">
        <is>
          <t>TXN-1373</t>
        </is>
      </c>
      <c r="B410" s="13" t="inlineStr">
        <is>
          <t>2026-09-18</t>
        </is>
      </c>
      <c r="C410" s="13" t="inlineStr">
        <is>
          <t>prj-hardware-and-iot-104</t>
        </is>
      </c>
      <c r="D410" s="14" t="inlineStr">
        <is>
          <t>Hardware &amp; IoT</t>
        </is>
      </c>
      <c r="E410" s="13" t="inlineStr">
        <is>
          <t>us-east4</t>
        </is>
      </c>
      <c r="F410" s="14" t="inlineStr">
        <is>
          <t>Google Kubernetes Engine</t>
        </is>
      </c>
      <c r="G410" s="14" t="inlineStr">
        <is>
          <t>Autopilot Pod Compute</t>
        </is>
      </c>
      <c r="H410" s="15" t="n">
        <v>6882.52</v>
      </c>
      <c r="I410" s="13" t="inlineStr">
        <is>
          <t>Active</t>
        </is>
      </c>
    </row>
    <row r="411">
      <c r="A411" s="13" t="inlineStr">
        <is>
          <t>TXN-1351</t>
        </is>
      </c>
      <c r="B411" s="13" t="inlineStr">
        <is>
          <t>2026-09-06</t>
        </is>
      </c>
      <c r="C411" s="13" t="inlineStr">
        <is>
          <t>prj-pro-services-104</t>
        </is>
      </c>
      <c r="D411" s="14" t="inlineStr">
        <is>
          <t>Pro Services</t>
        </is>
      </c>
      <c r="E411" s="13" t="inlineStr">
        <is>
          <t>southamerica-east1</t>
        </is>
      </c>
      <c r="F411" s="14" t="inlineStr">
        <is>
          <t>Cloud SQL</t>
        </is>
      </c>
      <c r="G411" s="14" t="inlineStr">
        <is>
          <t>PostgreSQL High Availability</t>
        </is>
      </c>
      <c r="H411" s="15" t="n">
        <v>5576.76</v>
      </c>
      <c r="I411" s="13" t="inlineStr">
        <is>
          <t>Active</t>
        </is>
      </c>
    </row>
    <row r="412">
      <c r="A412" s="13" t="inlineStr">
        <is>
          <t>TXN-9904</t>
        </is>
      </c>
      <c r="B412" s="13" t="inlineStr">
        <is>
          <t>2026-09-22</t>
        </is>
      </c>
      <c r="C412" s="13" t="inlineStr">
        <is>
          <t>prj-hardware-and-iot-104</t>
        </is>
      </c>
      <c r="D412" s="14" t="inlineStr">
        <is>
          <t>Hardware &amp; IoT</t>
        </is>
      </c>
      <c r="E412" s="13" t="inlineStr">
        <is>
          <t>asia-east1</t>
        </is>
      </c>
      <c r="F412" s="14" t="inlineStr">
        <is>
          <t>Cloud SQL</t>
        </is>
      </c>
      <c r="G412" s="14" t="inlineStr">
        <is>
          <t>Cross-Region Replication Surge</t>
        </is>
      </c>
      <c r="H412" s="15" t="n">
        <v>47800</v>
      </c>
      <c r="I412" s="13" t="inlineStr">
        <is>
          <t>Active</t>
        </is>
      </c>
    </row>
    <row r="413">
      <c r="A413" s="13" t="inlineStr">
        <is>
          <t>TXN-1078</t>
        </is>
      </c>
      <c r="B413" s="13" t="inlineStr">
        <is>
          <t>2026-09-04</t>
        </is>
      </c>
      <c r="C413" s="13" t="inlineStr">
        <is>
          <t>prj-pro-services-103</t>
        </is>
      </c>
      <c r="D413" s="14" t="inlineStr">
        <is>
          <t>Pro Services</t>
        </is>
      </c>
      <c r="E413" s="13" t="inlineStr">
        <is>
          <t>southamerica-east1</t>
        </is>
      </c>
      <c r="F413" s="14" t="inlineStr">
        <is>
          <t>Cloud Storage</t>
        </is>
      </c>
      <c r="G413" s="14" t="inlineStr">
        <is>
          <t>Standard Storage GB</t>
        </is>
      </c>
      <c r="H413" s="15" t="n">
        <v>1315.4</v>
      </c>
      <c r="I413" s="13" t="inlineStr">
        <is>
          <t>Active</t>
        </is>
      </c>
    </row>
    <row r="414">
      <c r="A414" s="13" t="inlineStr">
        <is>
          <t>TXN-1391</t>
        </is>
      </c>
      <c r="B414" s="13" t="inlineStr">
        <is>
          <t>2026-09-29</t>
        </is>
      </c>
      <c r="C414" s="13" t="inlineStr">
        <is>
          <t>prj-global-logistics-103</t>
        </is>
      </c>
      <c r="D414" s="14" t="inlineStr">
        <is>
          <t>Global Logistics</t>
        </is>
      </c>
      <c r="E414" s="13" t="inlineStr">
        <is>
          <t>southamerica-east1</t>
        </is>
      </c>
      <c r="F414" s="14" t="inlineStr">
        <is>
          <t>Cloud SQL</t>
        </is>
      </c>
      <c r="G414" s="14" t="inlineStr">
        <is>
          <t>PostgreSQL High Availability</t>
        </is>
      </c>
      <c r="H414" s="15" t="n">
        <v>3174.84</v>
      </c>
      <c r="I414" s="13" t="inlineStr">
        <is>
          <t>Active</t>
        </is>
      </c>
    </row>
    <row r="415">
      <c r="A415" s="13" t="inlineStr">
        <is>
          <t>TXN-1034</t>
        </is>
      </c>
      <c r="B415" s="13" t="inlineStr">
        <is>
          <t>2026-09-19</t>
        </is>
      </c>
      <c r="C415" s="13" t="inlineStr">
        <is>
          <t>prj-global-logistics-101</t>
        </is>
      </c>
      <c r="D415" s="14" t="inlineStr">
        <is>
          <t>Global Logistics</t>
        </is>
      </c>
      <c r="E415" s="13" t="inlineStr">
        <is>
          <t>us-central1</t>
        </is>
      </c>
      <c r="F415" s="14" t="inlineStr">
        <is>
          <t>Compute Engine</t>
        </is>
      </c>
      <c r="G415" s="14" t="inlineStr">
        <is>
          <t>N2 Standard 8 vCPU</t>
        </is>
      </c>
      <c r="H415" s="15" t="n">
        <v>4415.77</v>
      </c>
      <c r="I415" s="13" t="inlineStr">
        <is>
          <t>Active</t>
        </is>
      </c>
    </row>
    <row r="416">
      <c r="A416" s="13" t="inlineStr">
        <is>
          <t>TXN-1143</t>
        </is>
      </c>
      <c r="B416" s="13" t="inlineStr">
        <is>
          <t>2026-09-26</t>
        </is>
      </c>
      <c r="C416" s="13" t="inlineStr">
        <is>
          <t>prj-e-commerce-engine-104</t>
        </is>
      </c>
      <c r="D416" s="14" t="inlineStr">
        <is>
          <t>E-Commerce Engine</t>
        </is>
      </c>
      <c r="E416" s="13" t="inlineStr">
        <is>
          <t>europe-west1</t>
        </is>
      </c>
      <c r="F416" s="14" t="inlineStr">
        <is>
          <t>Google Kubernetes Engine</t>
        </is>
      </c>
      <c r="G416" s="14" t="inlineStr">
        <is>
          <t>Autopilot Pod Compute</t>
        </is>
      </c>
      <c r="H416" s="15" t="n">
        <v>7703.09</v>
      </c>
      <c r="I416" s="13" t="inlineStr">
        <is>
          <t>Active</t>
        </is>
      </c>
    </row>
    <row r="417">
      <c r="A417" s="13" t="inlineStr">
        <is>
          <t>TXN-1093</t>
        </is>
      </c>
      <c r="B417" s="13" t="inlineStr">
        <is>
          <t>2026-09-28</t>
        </is>
      </c>
      <c r="C417" s="13" t="inlineStr">
        <is>
          <t>prj-enterprise-saas-104</t>
        </is>
      </c>
      <c r="D417" s="14" t="inlineStr">
        <is>
          <t>Enterprise SaaS</t>
        </is>
      </c>
      <c r="E417" s="13" t="inlineStr">
        <is>
          <t>us-east4</t>
        </is>
      </c>
      <c r="F417" s="14" t="inlineStr">
        <is>
          <t>Cloud Storage</t>
        </is>
      </c>
      <c r="G417" s="14" t="inlineStr">
        <is>
          <t>Standard Storage GB</t>
        </is>
      </c>
      <c r="H417" s="15" t="n">
        <v>2935.7</v>
      </c>
      <c r="I417" s="13" t="inlineStr">
        <is>
          <t>Active</t>
        </is>
      </c>
    </row>
    <row r="418">
      <c r="A418" s="13" t="inlineStr">
        <is>
          <t>TXN-1222</t>
        </is>
      </c>
      <c r="B418" s="13" t="inlineStr">
        <is>
          <t>2026-09-01</t>
        </is>
      </c>
      <c r="C418" s="13" t="inlineStr">
        <is>
          <t>prj-enterprise-saas-104</t>
        </is>
      </c>
      <c r="D418" s="14" t="inlineStr">
        <is>
          <t>Enterprise SaaS</t>
        </is>
      </c>
      <c r="E418" s="13" t="inlineStr">
        <is>
          <t>us-east4</t>
        </is>
      </c>
      <c r="F418" s="14" t="inlineStr">
        <is>
          <t>Cloud SQL</t>
        </is>
      </c>
      <c r="G418" s="14" t="inlineStr">
        <is>
          <t>PostgreSQL High Availability</t>
        </is>
      </c>
      <c r="H418" s="15" t="n">
        <v>4901.34</v>
      </c>
      <c r="I418" s="13" t="inlineStr">
        <is>
          <t>Active</t>
        </is>
      </c>
    </row>
    <row r="419">
      <c r="A419" s="13" t="inlineStr">
        <is>
          <t>TXN-1018</t>
        </is>
      </c>
      <c r="B419" s="13" t="inlineStr">
        <is>
          <t>2026-09-18</t>
        </is>
      </c>
      <c r="C419" s="13" t="inlineStr">
        <is>
          <t>prj-e-commerce-engine-104</t>
        </is>
      </c>
      <c r="D419" s="14" t="inlineStr">
        <is>
          <t>E-Commerce Engine</t>
        </is>
      </c>
      <c r="E419" s="13" t="inlineStr">
        <is>
          <t>asia-east1</t>
        </is>
      </c>
      <c r="F419" s="14" t="inlineStr">
        <is>
          <t>Google Kubernetes Engine</t>
        </is>
      </c>
      <c r="G419" s="14" t="inlineStr">
        <is>
          <t>Autopilot Pod Compute</t>
        </is>
      </c>
      <c r="H419" s="15" t="n">
        <v>10386.94</v>
      </c>
      <c r="I419" s="13" t="inlineStr">
        <is>
          <t>Active</t>
        </is>
      </c>
    </row>
    <row r="420">
      <c r="A420" s="13" t="inlineStr">
        <is>
          <t>TXN-1079</t>
        </is>
      </c>
      <c r="B420" s="13" t="inlineStr">
        <is>
          <t>2026-09-14</t>
        </is>
      </c>
      <c r="C420" s="13" t="inlineStr">
        <is>
          <t>prj-enterprise-saas-102</t>
        </is>
      </c>
      <c r="D420" s="14" t="inlineStr">
        <is>
          <t>Enterprise SaaS</t>
        </is>
      </c>
      <c r="E420" s="13" t="inlineStr">
        <is>
          <t>southamerica-east1</t>
        </is>
      </c>
      <c r="F420" s="14" t="inlineStr">
        <is>
          <t>Google Kubernetes Engine</t>
        </is>
      </c>
      <c r="G420" s="14" t="inlineStr">
        <is>
          <t>Autopilot Pod Compute</t>
        </is>
      </c>
      <c r="H420" s="15" t="n">
        <v>7185.33</v>
      </c>
      <c r="I420" s="13" t="inlineStr">
        <is>
          <t>Active</t>
        </is>
      </c>
    </row>
    <row r="421">
      <c r="A421" s="13" t="inlineStr">
        <is>
          <t>TXN-1289</t>
        </is>
      </c>
      <c r="B421" s="13" t="inlineStr">
        <is>
          <t>2026-09-05</t>
        </is>
      </c>
      <c r="C421" s="13" t="inlineStr">
        <is>
          <t>prj-pro-services-104</t>
        </is>
      </c>
      <c r="D421" s="14" t="inlineStr">
        <is>
          <t>Pro Services</t>
        </is>
      </c>
      <c r="E421" s="13" t="inlineStr">
        <is>
          <t>us-central1</t>
        </is>
      </c>
      <c r="F421" s="14" t="inlineStr">
        <is>
          <t>Cloud Storage</t>
        </is>
      </c>
      <c r="G421" s="14" t="inlineStr">
        <is>
          <t>Standard Storage GB</t>
        </is>
      </c>
      <c r="H421" s="15" t="n">
        <v>3500.04</v>
      </c>
      <c r="I421" s="13" t="inlineStr">
        <is>
          <t>Active</t>
        </is>
      </c>
    </row>
    <row r="422">
      <c r="A422" s="13" t="inlineStr">
        <is>
          <t>TXN-1135</t>
        </is>
      </c>
      <c r="B422" s="13" t="inlineStr">
        <is>
          <t>2026-09-19</t>
        </is>
      </c>
      <c r="C422" s="13" t="inlineStr">
        <is>
          <t>prj-e-commerce-engine-101</t>
        </is>
      </c>
      <c r="D422" s="14" t="inlineStr">
        <is>
          <t>E-Commerce Engine</t>
        </is>
      </c>
      <c r="E422" s="13" t="inlineStr">
        <is>
          <t>southamerica-east1</t>
        </is>
      </c>
      <c r="F422" s="14" t="inlineStr">
        <is>
          <t>BigQuery</t>
        </is>
      </c>
      <c r="G422" s="14" t="inlineStr">
        <is>
          <t>Analysis Slot Usage</t>
        </is>
      </c>
      <c r="H422" s="15" t="n">
        <v>8579.459999999999</v>
      </c>
      <c r="I422" s="13" t="inlineStr">
        <is>
          <t>Active</t>
        </is>
      </c>
    </row>
    <row r="423">
      <c r="A423" s="13" t="inlineStr">
        <is>
          <t>TXN-1005</t>
        </is>
      </c>
      <c r="B423" s="13" t="inlineStr">
        <is>
          <t>2026-09-09</t>
        </is>
      </c>
      <c r="C423" s="13" t="inlineStr">
        <is>
          <t>prj-enterprise-saas-103</t>
        </is>
      </c>
      <c r="D423" s="14" t="inlineStr">
        <is>
          <t>Enterprise SaaS</t>
        </is>
      </c>
      <c r="E423" s="13" t="inlineStr">
        <is>
          <t>europe-west1</t>
        </is>
      </c>
      <c r="F423" s="14" t="inlineStr">
        <is>
          <t>Cloud SQL</t>
        </is>
      </c>
      <c r="G423" s="14" t="inlineStr">
        <is>
          <t>PostgreSQL High Availability</t>
        </is>
      </c>
      <c r="H423" s="15" t="n">
        <v>3472.55</v>
      </c>
      <c r="I423" s="13" t="inlineStr">
        <is>
          <t>Active</t>
        </is>
      </c>
    </row>
    <row r="424">
      <c r="A424" s="13" t="inlineStr">
        <is>
          <t>TXN-1185</t>
        </is>
      </c>
      <c r="B424" s="13" t="inlineStr">
        <is>
          <t>2026-09-14</t>
        </is>
      </c>
      <c r="C424" s="13" t="inlineStr">
        <is>
          <t>prj-e-commerce-engine-102</t>
        </is>
      </c>
      <c r="D424" s="14" t="inlineStr">
        <is>
          <t>E-Commerce Engine</t>
        </is>
      </c>
      <c r="E424" s="13" t="inlineStr">
        <is>
          <t>europe-west1</t>
        </is>
      </c>
      <c r="F424" s="14" t="inlineStr">
        <is>
          <t>Cloud Storage</t>
        </is>
      </c>
      <c r="G424" s="14" t="inlineStr">
        <is>
          <t>Standard Storage GB</t>
        </is>
      </c>
      <c r="H424" s="15" t="n">
        <v>1405.32</v>
      </c>
      <c r="I424" s="13" t="inlineStr">
        <is>
          <t>Active</t>
        </is>
      </c>
    </row>
    <row r="425">
      <c r="A425" s="13" t="inlineStr">
        <is>
          <t>TXN-1361</t>
        </is>
      </c>
      <c r="B425" s="13" t="inlineStr">
        <is>
          <t>2026-09-02</t>
        </is>
      </c>
      <c r="C425" s="13" t="inlineStr">
        <is>
          <t>prj-enterprise-saas-103</t>
        </is>
      </c>
      <c r="D425" s="14" t="inlineStr">
        <is>
          <t>Enterprise SaaS</t>
        </is>
      </c>
      <c r="E425" s="13" t="inlineStr">
        <is>
          <t>us-central1</t>
        </is>
      </c>
      <c r="F425" s="14" t="inlineStr">
        <is>
          <t>Cloud Storage</t>
        </is>
      </c>
      <c r="G425" s="14" t="inlineStr">
        <is>
          <t>Standard Storage GB</t>
        </is>
      </c>
      <c r="H425" s="15" t="n">
        <v>3290.31</v>
      </c>
      <c r="I425" s="13" t="inlineStr">
        <is>
          <t>Active</t>
        </is>
      </c>
    </row>
    <row r="426">
      <c r="A426" s="13" t="inlineStr">
        <is>
          <t>TXN-1190</t>
        </is>
      </c>
      <c r="B426" s="13" t="inlineStr">
        <is>
          <t>2026-09-10</t>
        </is>
      </c>
      <c r="C426" s="13" t="inlineStr">
        <is>
          <t>prj-global-logistics-101</t>
        </is>
      </c>
      <c r="D426" s="14" t="inlineStr">
        <is>
          <t>Global Logistics</t>
        </is>
      </c>
      <c r="E426" s="13" t="inlineStr">
        <is>
          <t>us-east4</t>
        </is>
      </c>
      <c r="F426" s="14" t="inlineStr">
        <is>
          <t>Cloud SQL</t>
        </is>
      </c>
      <c r="G426" s="14" t="inlineStr">
        <is>
          <t>PostgreSQL High Availability</t>
        </is>
      </c>
      <c r="H426" s="15" t="n">
        <v>3330.22</v>
      </c>
      <c r="I426" s="13" t="inlineStr">
        <is>
          <t>Active</t>
        </is>
      </c>
    </row>
    <row r="427">
      <c r="A427" s="13" t="inlineStr">
        <is>
          <t>TXN-1012</t>
        </is>
      </c>
      <c r="B427" s="13" t="inlineStr">
        <is>
          <t>2026-09-07</t>
        </is>
      </c>
      <c r="C427" s="13" t="inlineStr">
        <is>
          <t>prj-hardware-and-iot-102</t>
        </is>
      </c>
      <c r="D427" s="14" t="inlineStr">
        <is>
          <t>Hardware &amp; IoT</t>
        </is>
      </c>
      <c r="E427" s="13" t="inlineStr">
        <is>
          <t>us-central1</t>
        </is>
      </c>
      <c r="F427" s="14" t="inlineStr">
        <is>
          <t>Google Kubernetes Engine</t>
        </is>
      </c>
      <c r="G427" s="14" t="inlineStr">
        <is>
          <t>Autopilot Pod Compute</t>
        </is>
      </c>
      <c r="H427" s="15" t="n">
        <v>8204.84</v>
      </c>
      <c r="I427" s="13" t="inlineStr">
        <is>
          <t>Active</t>
        </is>
      </c>
    </row>
    <row r="428">
      <c r="A428" s="13" t="inlineStr">
        <is>
          <t>TXN-1408</t>
        </is>
      </c>
      <c r="B428" s="13" t="inlineStr">
        <is>
          <t>2026-09-14</t>
        </is>
      </c>
      <c r="C428" s="13" t="inlineStr">
        <is>
          <t>prj-pro-services-105</t>
        </is>
      </c>
      <c r="D428" s="14" t="inlineStr">
        <is>
          <t>Pro Services</t>
        </is>
      </c>
      <c r="E428" s="13" t="inlineStr">
        <is>
          <t>southamerica-east1</t>
        </is>
      </c>
      <c r="F428" s="14" t="inlineStr">
        <is>
          <t>Compute Engine</t>
        </is>
      </c>
      <c r="G428" s="14" t="inlineStr">
        <is>
          <t>N2 Standard 8 vCPU</t>
        </is>
      </c>
      <c r="H428" s="15" t="n">
        <v>5349.51</v>
      </c>
      <c r="I428" s="13" t="inlineStr">
        <is>
          <t>Active</t>
        </is>
      </c>
    </row>
    <row r="429">
      <c r="A429" s="13" t="inlineStr">
        <is>
          <t>TXN-1177</t>
        </is>
      </c>
      <c r="B429" s="13" t="inlineStr">
        <is>
          <t>2026-09-28</t>
        </is>
      </c>
      <c r="C429" s="13" t="inlineStr">
        <is>
          <t>prj-pro-services-104</t>
        </is>
      </c>
      <c r="D429" s="14" t="inlineStr">
        <is>
          <t>Pro Services</t>
        </is>
      </c>
      <c r="E429" s="13" t="inlineStr">
        <is>
          <t>us-central1</t>
        </is>
      </c>
      <c r="F429" s="14" t="inlineStr">
        <is>
          <t>Google Kubernetes Engine</t>
        </is>
      </c>
      <c r="G429" s="14" t="inlineStr">
        <is>
          <t>Autopilot Pod Compute</t>
        </is>
      </c>
      <c r="H429" s="15" t="n">
        <v>5092.09</v>
      </c>
      <c r="I429" s="13" t="inlineStr">
        <is>
          <t>Active</t>
        </is>
      </c>
    </row>
    <row r="430">
      <c r="A430" s="13" t="inlineStr">
        <is>
          <t>TXN-1049</t>
        </is>
      </c>
      <c r="B430" s="13" t="inlineStr">
        <is>
          <t>2026-09-19</t>
        </is>
      </c>
      <c r="C430" s="13" t="inlineStr">
        <is>
          <t>prj-pro-services-102</t>
        </is>
      </c>
      <c r="D430" s="14" t="inlineStr">
        <is>
          <t>Pro Services</t>
        </is>
      </c>
      <c r="E430" s="13" t="inlineStr">
        <is>
          <t>southamerica-east1</t>
        </is>
      </c>
      <c r="F430" s="14" t="inlineStr">
        <is>
          <t>Google Kubernetes Engine</t>
        </is>
      </c>
      <c r="G430" s="14" t="inlineStr">
        <is>
          <t>Autopilot Pod Compute</t>
        </is>
      </c>
      <c r="H430" s="15" t="n">
        <v>5341.28</v>
      </c>
      <c r="I430" s="13" t="inlineStr">
        <is>
          <t>Active</t>
        </is>
      </c>
    </row>
    <row r="431">
      <c r="A431" s="13" t="inlineStr">
        <is>
          <t>TXN-1274</t>
        </is>
      </c>
      <c r="B431" s="13" t="inlineStr">
        <is>
          <t>2026-09-19</t>
        </is>
      </c>
      <c r="C431" s="13" t="inlineStr">
        <is>
          <t>prj-global-logistics-104</t>
        </is>
      </c>
      <c r="D431" s="14" t="inlineStr">
        <is>
          <t>Global Logistics</t>
        </is>
      </c>
      <c r="E431" s="13" t="inlineStr">
        <is>
          <t>asia-east1</t>
        </is>
      </c>
      <c r="F431" s="14" t="inlineStr">
        <is>
          <t>BigQuery</t>
        </is>
      </c>
      <c r="G431" s="14" t="inlineStr">
        <is>
          <t>Analysis Slot Usage</t>
        </is>
      </c>
      <c r="H431" s="15" t="n">
        <v>4709.23</v>
      </c>
      <c r="I431" s="13" t="inlineStr">
        <is>
          <t>Active</t>
        </is>
      </c>
    </row>
    <row r="432">
      <c r="A432" s="13" t="inlineStr">
        <is>
          <t>TXN-1111</t>
        </is>
      </c>
      <c r="B432" s="13" t="inlineStr">
        <is>
          <t>2026-09-18</t>
        </is>
      </c>
      <c r="C432" s="13" t="inlineStr">
        <is>
          <t>prj-enterprise-saas-101</t>
        </is>
      </c>
      <c r="D432" s="14" t="inlineStr">
        <is>
          <t>Enterprise SaaS</t>
        </is>
      </c>
      <c r="E432" s="13" t="inlineStr">
        <is>
          <t>asia-east1</t>
        </is>
      </c>
      <c r="F432" s="14" t="inlineStr">
        <is>
          <t>Cloud Storage</t>
        </is>
      </c>
      <c r="G432" s="14" t="inlineStr">
        <is>
          <t>Standard Storage GB</t>
        </is>
      </c>
      <c r="H432" s="15" t="n">
        <v>3231.21</v>
      </c>
      <c r="I432" s="13" t="inlineStr">
        <is>
          <t>Active</t>
        </is>
      </c>
    </row>
    <row r="433">
      <c r="A433" s="13" t="inlineStr">
        <is>
          <t>TXN-1238</t>
        </is>
      </c>
      <c r="B433" s="13" t="inlineStr">
        <is>
          <t>2026-09-22</t>
        </is>
      </c>
      <c r="C433" s="13" t="inlineStr">
        <is>
          <t>prj-hardware-and-iot-103</t>
        </is>
      </c>
      <c r="D433" s="14" t="inlineStr">
        <is>
          <t>Hardware &amp; IoT</t>
        </is>
      </c>
      <c r="E433" s="13" t="inlineStr">
        <is>
          <t>us-central1</t>
        </is>
      </c>
      <c r="F433" s="14" t="inlineStr">
        <is>
          <t>Cloud Storage</t>
        </is>
      </c>
      <c r="G433" s="14" t="inlineStr">
        <is>
          <t>Standard Storage GB</t>
        </is>
      </c>
      <c r="H433" s="15" t="n">
        <v>3027.02</v>
      </c>
      <c r="I433" s="13" t="inlineStr">
        <is>
          <t>Active</t>
        </is>
      </c>
    </row>
    <row r="434">
      <c r="A434" s="13" t="inlineStr">
        <is>
          <t>TXN-1004</t>
        </is>
      </c>
      <c r="B434" s="13" t="inlineStr">
        <is>
          <t>2026-09-18</t>
        </is>
      </c>
      <c r="C434" s="13" t="inlineStr">
        <is>
          <t>prj-global-logistics-102</t>
        </is>
      </c>
      <c r="D434" s="14" t="inlineStr">
        <is>
          <t>Global Logistics</t>
        </is>
      </c>
      <c r="E434" s="13" t="inlineStr">
        <is>
          <t>southamerica-east1</t>
        </is>
      </c>
      <c r="F434" s="14" t="inlineStr">
        <is>
          <t>Cloud SQL</t>
        </is>
      </c>
      <c r="G434" s="14" t="inlineStr">
        <is>
          <t>PostgreSQL High Availability</t>
        </is>
      </c>
      <c r="H434" s="15" t="n">
        <v>4072.23</v>
      </c>
      <c r="I434" s="13" t="inlineStr">
        <is>
          <t>Active</t>
        </is>
      </c>
    </row>
    <row r="435">
      <c r="A435" s="13" t="inlineStr">
        <is>
          <t>TXN-1215</t>
        </is>
      </c>
      <c r="B435" s="13" t="inlineStr">
        <is>
          <t>2026-09-08</t>
        </is>
      </c>
      <c r="C435" s="13" t="inlineStr">
        <is>
          <t>prj-hardware-and-iot-101</t>
        </is>
      </c>
      <c r="D435" s="14" t="inlineStr">
        <is>
          <t>Hardware &amp; IoT</t>
        </is>
      </c>
      <c r="E435" s="13" t="inlineStr">
        <is>
          <t>europe-west1</t>
        </is>
      </c>
      <c r="F435" s="14" t="inlineStr">
        <is>
          <t>Google Kubernetes Engine</t>
        </is>
      </c>
      <c r="G435" s="14" t="inlineStr">
        <is>
          <t>Autopilot Pod Compute</t>
        </is>
      </c>
      <c r="H435" s="15" t="n">
        <v>6663.65</v>
      </c>
      <c r="I435" s="13" t="inlineStr">
        <is>
          <t>Active</t>
        </is>
      </c>
    </row>
    <row r="436">
      <c r="A436" s="13" t="inlineStr">
        <is>
          <t>TXN-1343</t>
        </is>
      </c>
      <c r="B436" s="13" t="inlineStr">
        <is>
          <t>2026-09-21</t>
        </is>
      </c>
      <c r="C436" s="13" t="inlineStr">
        <is>
          <t>prj-e-commerce-engine-104</t>
        </is>
      </c>
      <c r="D436" s="14" t="inlineStr">
        <is>
          <t>E-Commerce Engine</t>
        </is>
      </c>
      <c r="E436" s="13" t="inlineStr">
        <is>
          <t>asia-east1</t>
        </is>
      </c>
      <c r="F436" s="14" t="inlineStr">
        <is>
          <t>BigQuery</t>
        </is>
      </c>
      <c r="G436" s="14" t="inlineStr">
        <is>
          <t>Analysis Slot Usage</t>
        </is>
      </c>
      <c r="H436" s="15" t="n">
        <v>5346.83</v>
      </c>
      <c r="I436" s="13" t="inlineStr">
        <is>
          <t>Active</t>
        </is>
      </c>
    </row>
    <row r="437">
      <c r="A437" s="13" t="inlineStr">
        <is>
          <t>TXN-1382</t>
        </is>
      </c>
      <c r="B437" s="13" t="inlineStr">
        <is>
          <t>2026-09-05</t>
        </is>
      </c>
      <c r="C437" s="13" t="inlineStr">
        <is>
          <t>prj-enterprise-saas-102</t>
        </is>
      </c>
      <c r="D437" s="14" t="inlineStr">
        <is>
          <t>Enterprise SaaS</t>
        </is>
      </c>
      <c r="E437" s="13" t="inlineStr">
        <is>
          <t>southamerica-east1</t>
        </is>
      </c>
      <c r="F437" s="14" t="inlineStr">
        <is>
          <t>Google Kubernetes Engine</t>
        </is>
      </c>
      <c r="G437" s="14" t="inlineStr">
        <is>
          <t>Autopilot Pod Compute</t>
        </is>
      </c>
      <c r="H437" s="15" t="n">
        <v>6454.75</v>
      </c>
      <c r="I437" s="13" t="inlineStr">
        <is>
          <t>Active</t>
        </is>
      </c>
    </row>
    <row r="438">
      <c r="A438" s="13" t="inlineStr">
        <is>
          <t>TXN-1208</t>
        </is>
      </c>
      <c r="B438" s="13" t="inlineStr">
        <is>
          <t>2026-09-21</t>
        </is>
      </c>
      <c r="C438" s="13" t="inlineStr">
        <is>
          <t>prj-enterprise-saas-104</t>
        </is>
      </c>
      <c r="D438" s="14" t="inlineStr">
        <is>
          <t>Enterprise SaaS</t>
        </is>
      </c>
      <c r="E438" s="13" t="inlineStr">
        <is>
          <t>us-east4</t>
        </is>
      </c>
      <c r="F438" s="14" t="inlineStr">
        <is>
          <t>Google Kubernetes Engine</t>
        </is>
      </c>
      <c r="G438" s="14" t="inlineStr">
        <is>
          <t>Autopilot Pod Compute</t>
        </is>
      </c>
      <c r="H438" s="15" t="n">
        <v>10634.32</v>
      </c>
      <c r="I438" s="13" t="inlineStr">
        <is>
          <t>Active</t>
        </is>
      </c>
    </row>
    <row r="439">
      <c r="A439" s="13" t="inlineStr">
        <is>
          <t>TXN-1040</t>
        </is>
      </c>
      <c r="B439" s="13" t="inlineStr">
        <is>
          <t>2026-09-21</t>
        </is>
      </c>
      <c r="C439" s="13" t="inlineStr">
        <is>
          <t>prj-enterprise-saas-103</t>
        </is>
      </c>
      <c r="D439" s="14" t="inlineStr">
        <is>
          <t>Enterprise SaaS</t>
        </is>
      </c>
      <c r="E439" s="13" t="inlineStr">
        <is>
          <t>us-central1</t>
        </is>
      </c>
      <c r="F439" s="14" t="inlineStr">
        <is>
          <t>Cloud SQL</t>
        </is>
      </c>
      <c r="G439" s="14" t="inlineStr">
        <is>
          <t>PostgreSQL High Availability</t>
        </is>
      </c>
      <c r="H439" s="15" t="n">
        <v>5302.07</v>
      </c>
      <c r="I439" s="13" t="inlineStr">
        <is>
          <t>Active</t>
        </is>
      </c>
    </row>
    <row r="440">
      <c r="A440" s="13" t="inlineStr">
        <is>
          <t>TXN-1456</t>
        </is>
      </c>
      <c r="B440" s="13" t="inlineStr">
        <is>
          <t>2026-09-08</t>
        </is>
      </c>
      <c r="C440" s="13" t="inlineStr">
        <is>
          <t>prj-global-logistics-101</t>
        </is>
      </c>
      <c r="D440" s="14" t="inlineStr">
        <is>
          <t>Global Logistics</t>
        </is>
      </c>
      <c r="E440" s="13" t="inlineStr">
        <is>
          <t>asia-east1</t>
        </is>
      </c>
      <c r="F440" s="14" t="inlineStr">
        <is>
          <t>Compute Engine</t>
        </is>
      </c>
      <c r="G440" s="14" t="inlineStr">
        <is>
          <t>N2 Standard 8 vCPU</t>
        </is>
      </c>
      <c r="H440" s="15" t="n">
        <v>3874</v>
      </c>
      <c r="I440" s="13" t="inlineStr">
        <is>
          <t>Active</t>
        </is>
      </c>
    </row>
    <row r="441">
      <c r="A441" s="13" t="inlineStr">
        <is>
          <t>TXN-1118</t>
        </is>
      </c>
      <c r="B441" s="13" t="inlineStr">
        <is>
          <t>2026-09-10</t>
        </is>
      </c>
      <c r="C441" s="13" t="inlineStr">
        <is>
          <t>prj-e-commerce-engine-101</t>
        </is>
      </c>
      <c r="D441" s="14" t="inlineStr">
        <is>
          <t>E-Commerce Engine</t>
        </is>
      </c>
      <c r="E441" s="13" t="inlineStr">
        <is>
          <t>us-central1</t>
        </is>
      </c>
      <c r="F441" s="14" t="inlineStr">
        <is>
          <t>Google Kubernetes Engine</t>
        </is>
      </c>
      <c r="G441" s="14" t="inlineStr">
        <is>
          <t>Autopilot Pod Compute</t>
        </is>
      </c>
      <c r="H441" s="15" t="n">
        <v>7083.22</v>
      </c>
      <c r="I441" s="13" t="inlineStr">
        <is>
          <t>Active</t>
        </is>
      </c>
    </row>
    <row r="442">
      <c r="A442" s="13" t="inlineStr">
        <is>
          <t>TXN-1195</t>
        </is>
      </c>
      <c r="B442" s="13" t="inlineStr">
        <is>
          <t>2026-09-22</t>
        </is>
      </c>
      <c r="C442" s="13" t="inlineStr">
        <is>
          <t>prj-global-logistics-103</t>
        </is>
      </c>
      <c r="D442" s="14" t="inlineStr">
        <is>
          <t>Global Logistics</t>
        </is>
      </c>
      <c r="E442" s="13" t="inlineStr">
        <is>
          <t>us-central1</t>
        </is>
      </c>
      <c r="F442" s="14" t="inlineStr">
        <is>
          <t>Compute Engine</t>
        </is>
      </c>
      <c r="G442" s="14" t="inlineStr">
        <is>
          <t>N2 Standard 8 vCPU</t>
        </is>
      </c>
      <c r="H442" s="15" t="n">
        <v>6654.44</v>
      </c>
      <c r="I442" s="13" t="inlineStr">
        <is>
          <t>Active</t>
        </is>
      </c>
    </row>
    <row r="443">
      <c r="A443" s="13" t="inlineStr">
        <is>
          <t>TXN-1477</t>
        </is>
      </c>
      <c r="B443" s="13" t="inlineStr">
        <is>
          <t>2026-09-22</t>
        </is>
      </c>
      <c r="C443" s="13" t="inlineStr">
        <is>
          <t>prj-pro-services-103</t>
        </is>
      </c>
      <c r="D443" s="14" t="inlineStr">
        <is>
          <t>Pro Services</t>
        </is>
      </c>
      <c r="E443" s="13" t="inlineStr">
        <is>
          <t>europe-west1</t>
        </is>
      </c>
      <c r="F443" s="14" t="inlineStr">
        <is>
          <t>Cloud Storage</t>
        </is>
      </c>
      <c r="G443" s="14" t="inlineStr">
        <is>
          <t>Standard Storage GB</t>
        </is>
      </c>
      <c r="H443" s="15" t="n">
        <v>1982.94</v>
      </c>
      <c r="I443" s="13" t="inlineStr">
        <is>
          <t>Active</t>
        </is>
      </c>
    </row>
    <row r="444">
      <c r="A444" s="13" t="inlineStr">
        <is>
          <t>TXN-1203</t>
        </is>
      </c>
      <c r="B444" s="13" t="inlineStr">
        <is>
          <t>2026-09-08</t>
        </is>
      </c>
      <c r="C444" s="13" t="inlineStr">
        <is>
          <t>prj-pro-services-105</t>
        </is>
      </c>
      <c r="D444" s="14" t="inlineStr">
        <is>
          <t>Pro Services</t>
        </is>
      </c>
      <c r="E444" s="13" t="inlineStr">
        <is>
          <t>us-central1</t>
        </is>
      </c>
      <c r="F444" s="14" t="inlineStr">
        <is>
          <t>Google Kubernetes Engine</t>
        </is>
      </c>
      <c r="G444" s="14" t="inlineStr">
        <is>
          <t>Autopilot Pod Compute</t>
        </is>
      </c>
      <c r="H444" s="15" t="n">
        <v>6968.04</v>
      </c>
      <c r="I444" s="13" t="inlineStr">
        <is>
          <t>Active</t>
        </is>
      </c>
    </row>
    <row r="445">
      <c r="A445" s="13" t="inlineStr">
        <is>
          <t>TXN-1137</t>
        </is>
      </c>
      <c r="B445" s="13" t="inlineStr">
        <is>
          <t>2026-09-18</t>
        </is>
      </c>
      <c r="C445" s="13" t="inlineStr">
        <is>
          <t>prj-global-logistics-101</t>
        </is>
      </c>
      <c r="D445" s="14" t="inlineStr">
        <is>
          <t>Global Logistics</t>
        </is>
      </c>
      <c r="E445" s="13" t="inlineStr">
        <is>
          <t>asia-east1</t>
        </is>
      </c>
      <c r="F445" s="14" t="inlineStr">
        <is>
          <t>Compute Engine</t>
        </is>
      </c>
      <c r="G445" s="14" t="inlineStr">
        <is>
          <t>N2 Standard 8 vCPU</t>
        </is>
      </c>
      <c r="H445" s="15" t="n">
        <v>5713.44</v>
      </c>
      <c r="I445" s="13" t="inlineStr">
        <is>
          <t>Active</t>
        </is>
      </c>
    </row>
    <row r="446">
      <c r="A446" s="13" t="inlineStr">
        <is>
          <t>TXN-1440</t>
        </is>
      </c>
      <c r="B446" s="13" t="inlineStr">
        <is>
          <t>2026-09-16</t>
        </is>
      </c>
      <c r="C446" s="13" t="inlineStr">
        <is>
          <t>prj-pro-services-103</t>
        </is>
      </c>
      <c r="D446" s="14" t="inlineStr">
        <is>
          <t>Pro Services</t>
        </is>
      </c>
      <c r="E446" s="13" t="inlineStr">
        <is>
          <t>us-central1</t>
        </is>
      </c>
      <c r="F446" s="14" t="inlineStr">
        <is>
          <t>Cloud SQL</t>
        </is>
      </c>
      <c r="G446" s="14" t="inlineStr">
        <is>
          <t>PostgreSQL High Availability</t>
        </is>
      </c>
      <c r="H446" s="15" t="n">
        <v>5700.16</v>
      </c>
      <c r="I446" s="13" t="inlineStr">
        <is>
          <t>Active</t>
        </is>
      </c>
    </row>
    <row r="447">
      <c r="A447" s="13" t="inlineStr">
        <is>
          <t>TXN-1341</t>
        </is>
      </c>
      <c r="B447" s="13" t="inlineStr">
        <is>
          <t>2026-09-01</t>
        </is>
      </c>
      <c r="C447" s="13" t="inlineStr">
        <is>
          <t>prj-enterprise-saas-103</t>
        </is>
      </c>
      <c r="D447" s="14" t="inlineStr">
        <is>
          <t>Enterprise SaaS</t>
        </is>
      </c>
      <c r="E447" s="13" t="inlineStr">
        <is>
          <t>us-central1</t>
        </is>
      </c>
      <c r="F447" s="14" t="inlineStr">
        <is>
          <t>Google Kubernetes Engine</t>
        </is>
      </c>
      <c r="G447" s="14" t="inlineStr">
        <is>
          <t>Autopilot Pod Compute</t>
        </is>
      </c>
      <c r="H447" s="15" t="n">
        <v>8906.780000000001</v>
      </c>
      <c r="I447" s="13" t="inlineStr">
        <is>
          <t>Active</t>
        </is>
      </c>
    </row>
    <row r="448">
      <c r="A448" s="13" t="inlineStr">
        <is>
          <t>TXN-1475</t>
        </is>
      </c>
      <c r="B448" s="13" t="inlineStr">
        <is>
          <t>2026-09-20</t>
        </is>
      </c>
      <c r="C448" s="13" t="inlineStr">
        <is>
          <t>prj-e-commerce-engine-101</t>
        </is>
      </c>
      <c r="D448" s="14" t="inlineStr">
        <is>
          <t>E-Commerce Engine</t>
        </is>
      </c>
      <c r="E448" s="13" t="inlineStr">
        <is>
          <t>asia-east1</t>
        </is>
      </c>
      <c r="F448" s="14" t="inlineStr">
        <is>
          <t>Cloud SQL</t>
        </is>
      </c>
      <c r="G448" s="14" t="inlineStr">
        <is>
          <t>PostgreSQL High Availability</t>
        </is>
      </c>
      <c r="H448" s="15" t="n">
        <v>3521.47</v>
      </c>
      <c r="I448" s="13" t="inlineStr">
        <is>
          <t>Active</t>
        </is>
      </c>
    </row>
    <row r="449">
      <c r="A449" s="13" t="inlineStr">
        <is>
          <t>TXN-1349</t>
        </is>
      </c>
      <c r="B449" s="13" t="inlineStr">
        <is>
          <t>2026-09-02</t>
        </is>
      </c>
      <c r="C449" s="13" t="inlineStr">
        <is>
          <t>prj-hardware-and-iot-104</t>
        </is>
      </c>
      <c r="D449" s="14" t="inlineStr">
        <is>
          <t>Hardware &amp; IoT</t>
        </is>
      </c>
      <c r="E449" s="13" t="inlineStr">
        <is>
          <t>us-east4</t>
        </is>
      </c>
      <c r="F449" s="14" t="inlineStr">
        <is>
          <t>Google Kubernetes Engine</t>
        </is>
      </c>
      <c r="G449" s="14" t="inlineStr">
        <is>
          <t>Autopilot Pod Compute</t>
        </is>
      </c>
      <c r="H449" s="15" t="n">
        <v>6489.62</v>
      </c>
      <c r="I449" s="13" t="inlineStr">
        <is>
          <t>Active</t>
        </is>
      </c>
    </row>
    <row r="450">
      <c r="A450" s="13" t="inlineStr">
        <is>
          <t>TXN-1320</t>
        </is>
      </c>
      <c r="B450" s="13" t="inlineStr">
        <is>
          <t>2026-09-12</t>
        </is>
      </c>
      <c r="C450" s="13" t="inlineStr">
        <is>
          <t>prj-hardware-and-iot-101</t>
        </is>
      </c>
      <c r="D450" s="14" t="inlineStr">
        <is>
          <t>Hardware &amp; IoT</t>
        </is>
      </c>
      <c r="E450" s="13" t="inlineStr">
        <is>
          <t>us-east4</t>
        </is>
      </c>
      <c r="F450" s="14" t="inlineStr">
        <is>
          <t>Google Kubernetes Engine</t>
        </is>
      </c>
      <c r="G450" s="14" t="inlineStr">
        <is>
          <t>Autopilot Pod Compute</t>
        </is>
      </c>
      <c r="H450" s="15" t="n">
        <v>8630.57</v>
      </c>
      <c r="I450" s="13" t="inlineStr">
        <is>
          <t>Active</t>
        </is>
      </c>
    </row>
    <row r="451">
      <c r="A451" s="13" t="inlineStr">
        <is>
          <t>TXN-1422</t>
        </is>
      </c>
      <c r="B451" s="13" t="inlineStr">
        <is>
          <t>2026-09-13</t>
        </is>
      </c>
      <c r="C451" s="13" t="inlineStr">
        <is>
          <t>prj-pro-services-102</t>
        </is>
      </c>
      <c r="D451" s="14" t="inlineStr"/>
      <c r="E451" s="13" t="inlineStr">
        <is>
          <t>europe-west1</t>
        </is>
      </c>
      <c r="F451" s="14" t="inlineStr">
        <is>
          <t>Google Kubernetes Engine</t>
        </is>
      </c>
      <c r="G451" s="14" t="inlineStr">
        <is>
          <t>Autopilot Pod Compute</t>
        </is>
      </c>
      <c r="H451" s="15" t="n">
        <v>9526.309999999999</v>
      </c>
      <c r="I451" s="13" t="inlineStr">
        <is>
          <t>Active</t>
        </is>
      </c>
    </row>
    <row r="452">
      <c r="A452" s="13" t="inlineStr">
        <is>
          <t>TXN-1334</t>
        </is>
      </c>
      <c r="B452" s="13" t="inlineStr">
        <is>
          <t>2026-09-17</t>
        </is>
      </c>
      <c r="C452" s="13" t="inlineStr">
        <is>
          <t>prj-hardware-and-iot-105</t>
        </is>
      </c>
      <c r="D452" s="14" t="inlineStr"/>
      <c r="E452" s="13" t="inlineStr">
        <is>
          <t>europe-west1</t>
        </is>
      </c>
      <c r="F452" s="14" t="inlineStr">
        <is>
          <t>Google Kubernetes Engine</t>
        </is>
      </c>
      <c r="G452" s="14" t="inlineStr">
        <is>
          <t>Autopilot Pod Compute</t>
        </is>
      </c>
      <c r="H452" s="15" t="n">
        <v>6091.78</v>
      </c>
      <c r="I452" s="13" t="inlineStr">
        <is>
          <t>Active</t>
        </is>
      </c>
    </row>
    <row r="453">
      <c r="A453" s="13" t="inlineStr">
        <is>
          <t>TXN-1057</t>
        </is>
      </c>
      <c r="B453" s="13" t="inlineStr">
        <is>
          <t>2026-09-05</t>
        </is>
      </c>
      <c r="C453" s="13" t="inlineStr">
        <is>
          <t>prj-hardware-and-iot-103</t>
        </is>
      </c>
      <c r="D453" s="14" t="inlineStr">
        <is>
          <t>Hardware &amp; IoT</t>
        </is>
      </c>
      <c r="E453" s="13" t="inlineStr">
        <is>
          <t>us-central1</t>
        </is>
      </c>
      <c r="F453" s="14" t="inlineStr">
        <is>
          <t>Cloud Storage</t>
        </is>
      </c>
      <c r="G453" s="14" t="inlineStr">
        <is>
          <t>Standard Storage GB</t>
        </is>
      </c>
      <c r="H453" s="15" t="n">
        <v>1940.97</v>
      </c>
      <c r="I453" s="13" t="inlineStr">
        <is>
          <t>Active</t>
        </is>
      </c>
    </row>
    <row r="454">
      <c r="A454" s="13" t="inlineStr">
        <is>
          <t>TXN-1476</t>
        </is>
      </c>
      <c r="B454" s="13" t="inlineStr">
        <is>
          <t>2026-09-13</t>
        </is>
      </c>
      <c r="C454" s="13" t="inlineStr">
        <is>
          <t>prj-enterprise-saas-105</t>
        </is>
      </c>
      <c r="D454" s="14" t="inlineStr">
        <is>
          <t>Enterprise SaaS</t>
        </is>
      </c>
      <c r="E454" s="13" t="inlineStr">
        <is>
          <t>southamerica-east1</t>
        </is>
      </c>
      <c r="F454" s="14" t="inlineStr">
        <is>
          <t>Cloud Storage</t>
        </is>
      </c>
      <c r="G454" s="14" t="inlineStr">
        <is>
          <t>Standard Storage GB</t>
        </is>
      </c>
      <c r="H454" s="15" t="n">
        <v>2554.87</v>
      </c>
      <c r="I454" s="13" t="inlineStr">
        <is>
          <t>Active</t>
        </is>
      </c>
    </row>
    <row r="455">
      <c r="A455" s="13" t="inlineStr">
        <is>
          <t>TXN-1156</t>
        </is>
      </c>
      <c r="B455" s="13" t="inlineStr">
        <is>
          <t>2026-09-25</t>
        </is>
      </c>
      <c r="C455" s="13" t="inlineStr">
        <is>
          <t>prj-global-logistics-104</t>
        </is>
      </c>
      <c r="D455" s="14" t="inlineStr">
        <is>
          <t>Global Logistics</t>
        </is>
      </c>
      <c r="E455" s="13" t="inlineStr">
        <is>
          <t>us-east4</t>
        </is>
      </c>
      <c r="F455" s="14" t="inlineStr">
        <is>
          <t>Google Kubernetes Engine</t>
        </is>
      </c>
      <c r="G455" s="14" t="inlineStr">
        <is>
          <t>Autopilot Pod Compute</t>
        </is>
      </c>
      <c r="H455" s="15" t="n">
        <v>10496.44</v>
      </c>
      <c r="I455" s="13" t="inlineStr">
        <is>
          <t>Active</t>
        </is>
      </c>
    </row>
    <row r="456">
      <c r="A456" s="13" t="inlineStr">
        <is>
          <t>TXN-1195</t>
        </is>
      </c>
      <c r="B456" s="13" t="inlineStr">
        <is>
          <t>2026-09-22</t>
        </is>
      </c>
      <c r="C456" s="13" t="inlineStr">
        <is>
          <t>prj-global-logistics-103</t>
        </is>
      </c>
      <c r="D456" s="14" t="inlineStr">
        <is>
          <t>Global Logistics</t>
        </is>
      </c>
      <c r="E456" s="13" t="inlineStr">
        <is>
          <t>us-central1</t>
        </is>
      </c>
      <c r="F456" s="14" t="inlineStr">
        <is>
          <t>Compute Engine</t>
        </is>
      </c>
      <c r="G456" s="14" t="inlineStr">
        <is>
          <t>N2 Standard 8 vCPU</t>
        </is>
      </c>
      <c r="H456" s="15" t="n">
        <v>6654.44</v>
      </c>
      <c r="I456" s="13" t="inlineStr">
        <is>
          <t>Active</t>
        </is>
      </c>
    </row>
    <row r="457">
      <c r="A457" s="13" t="inlineStr">
        <is>
          <t>TXN-1221</t>
        </is>
      </c>
      <c r="B457" s="13" t="inlineStr">
        <is>
          <t>2026-09-08</t>
        </is>
      </c>
      <c r="C457" s="13" t="inlineStr">
        <is>
          <t>prj-e-commerce-engine-103</t>
        </is>
      </c>
      <c r="D457" s="14" t="inlineStr"/>
      <c r="E457" s="13" t="inlineStr">
        <is>
          <t>us-central1</t>
        </is>
      </c>
      <c r="F457" s="14" t="inlineStr">
        <is>
          <t>Google Kubernetes Engine</t>
        </is>
      </c>
      <c r="G457" s="14" t="inlineStr">
        <is>
          <t>Autopilot Pod Compute</t>
        </is>
      </c>
      <c r="H457" s="15" t="n">
        <v>7748.26</v>
      </c>
      <c r="I457" s="13" t="inlineStr">
        <is>
          <t>Active</t>
        </is>
      </c>
    </row>
    <row r="458">
      <c r="A458" s="13" t="inlineStr">
        <is>
          <t>TXN-1033</t>
        </is>
      </c>
      <c r="B458" s="13" t="inlineStr">
        <is>
          <t>2026-09-08</t>
        </is>
      </c>
      <c r="C458" s="13" t="inlineStr">
        <is>
          <t>prj-enterprise-saas-105</t>
        </is>
      </c>
      <c r="D458" s="14" t="inlineStr">
        <is>
          <t>Enterprise SaaS</t>
        </is>
      </c>
      <c r="E458" s="13" t="inlineStr">
        <is>
          <t>asia-east1</t>
        </is>
      </c>
      <c r="F458" s="14" t="inlineStr">
        <is>
          <t>Compute Engine</t>
        </is>
      </c>
      <c r="G458" s="14" t="inlineStr">
        <is>
          <t>N2 Standard 8 vCPU</t>
        </is>
      </c>
      <c r="H458" s="15" t="n">
        <v>5715.69</v>
      </c>
      <c r="I458" s="13" t="inlineStr">
        <is>
          <t>Active</t>
        </is>
      </c>
    </row>
    <row r="459">
      <c r="A459" s="13" t="inlineStr">
        <is>
          <t>TXN-1107</t>
        </is>
      </c>
      <c r="B459" s="13" t="inlineStr">
        <is>
          <t>2026-09-13</t>
        </is>
      </c>
      <c r="C459" s="13" t="inlineStr">
        <is>
          <t>prj-e-commerce-engine-101</t>
        </is>
      </c>
      <c r="D459" s="14" t="inlineStr">
        <is>
          <t>E-Commerce Engine</t>
        </is>
      </c>
      <c r="E459" s="13" t="inlineStr">
        <is>
          <t>southamerica-east1</t>
        </is>
      </c>
      <c r="F459" s="14" t="inlineStr">
        <is>
          <t>Compute Engine</t>
        </is>
      </c>
      <c r="G459" s="14" t="inlineStr">
        <is>
          <t>N2 Standard 8 vCPU</t>
        </is>
      </c>
      <c r="H459" s="15" t="n">
        <v>6071</v>
      </c>
      <c r="I459" s="13" t="inlineStr">
        <is>
          <t>Active</t>
        </is>
      </c>
    </row>
    <row r="460">
      <c r="A460" s="13" t="inlineStr">
        <is>
          <t>TXN-1217</t>
        </is>
      </c>
      <c r="B460" s="13" t="inlineStr">
        <is>
          <t>2026-09-28</t>
        </is>
      </c>
      <c r="C460" s="13" t="inlineStr">
        <is>
          <t>prj-enterprise-saas-103</t>
        </is>
      </c>
      <c r="D460" s="14" t="inlineStr">
        <is>
          <t>Enterprise SaaS</t>
        </is>
      </c>
      <c r="E460" s="13" t="inlineStr">
        <is>
          <t>europe-west1</t>
        </is>
      </c>
      <c r="F460" s="14" t="inlineStr">
        <is>
          <t>Compute Engine</t>
        </is>
      </c>
      <c r="G460" s="14" t="inlineStr">
        <is>
          <t>N2 Standard 8 vCPU</t>
        </is>
      </c>
      <c r="H460" s="15" t="n">
        <v>6659.94</v>
      </c>
      <c r="I460" s="13" t="inlineStr">
        <is>
          <t>Active</t>
        </is>
      </c>
    </row>
    <row r="461">
      <c r="A461" s="13" t="inlineStr">
        <is>
          <t>TXN-1207</t>
        </is>
      </c>
      <c r="B461" s="13" t="inlineStr">
        <is>
          <t>2026-09-12</t>
        </is>
      </c>
      <c r="C461" s="13" t="inlineStr">
        <is>
          <t>prj-e-commerce-engine-102</t>
        </is>
      </c>
      <c r="D461" s="14" t="inlineStr">
        <is>
          <t>E-Commerce Engine</t>
        </is>
      </c>
      <c r="E461" s="13" t="inlineStr">
        <is>
          <t>us-east4</t>
        </is>
      </c>
      <c r="F461" s="14" t="inlineStr">
        <is>
          <t>Google Kubernetes Engine</t>
        </is>
      </c>
      <c r="G461" s="14" t="inlineStr">
        <is>
          <t>Autopilot Pod Compute</t>
        </is>
      </c>
      <c r="H461" s="15" t="n">
        <v>10312.48</v>
      </c>
      <c r="I461" s="13" t="inlineStr">
        <is>
          <t>Active</t>
        </is>
      </c>
    </row>
    <row r="462">
      <c r="A462" s="13" t="inlineStr">
        <is>
          <t>TXN-1406</t>
        </is>
      </c>
      <c r="B462" s="13" t="inlineStr">
        <is>
          <t>2026-09-17</t>
        </is>
      </c>
      <c r="C462" s="13" t="inlineStr">
        <is>
          <t>prj-pro-services-105</t>
        </is>
      </c>
      <c r="D462" s="14" t="inlineStr">
        <is>
          <t>Pro Services</t>
        </is>
      </c>
      <c r="E462" s="13" t="inlineStr">
        <is>
          <t>us-central1</t>
        </is>
      </c>
      <c r="F462" s="14" t="inlineStr">
        <is>
          <t>Cloud Storage</t>
        </is>
      </c>
      <c r="G462" s="14" t="inlineStr">
        <is>
          <t>Standard Storage GB</t>
        </is>
      </c>
      <c r="H462" s="15" t="n">
        <v>2470.95</v>
      </c>
      <c r="I462" s="13" t="inlineStr">
        <is>
          <t>Active</t>
        </is>
      </c>
    </row>
    <row r="463">
      <c r="A463" s="13" t="inlineStr">
        <is>
          <t>TXN-1327</t>
        </is>
      </c>
      <c r="B463" s="13" t="inlineStr">
        <is>
          <t>2026-09-26</t>
        </is>
      </c>
      <c r="C463" s="13" t="inlineStr">
        <is>
          <t>prj-hardware-and-iot-105</t>
        </is>
      </c>
      <c r="D463" s="14" t="inlineStr">
        <is>
          <t>Hardware &amp; IoT</t>
        </is>
      </c>
      <c r="E463" s="13" t="inlineStr">
        <is>
          <t>asia-east1</t>
        </is>
      </c>
      <c r="F463" s="14" t="inlineStr">
        <is>
          <t>Compute Engine</t>
        </is>
      </c>
      <c r="G463" s="14" t="inlineStr">
        <is>
          <t>N2 Standard 8 vCPU</t>
        </is>
      </c>
      <c r="H463" s="15" t="n">
        <v>5668.69</v>
      </c>
      <c r="I463" s="13" t="inlineStr">
        <is>
          <t>Active</t>
        </is>
      </c>
    </row>
    <row r="464">
      <c r="A464" s="13" t="inlineStr">
        <is>
          <t>TXN-1123</t>
        </is>
      </c>
      <c r="B464" s="13" t="inlineStr">
        <is>
          <t>2026-09-27</t>
        </is>
      </c>
      <c r="C464" s="13" t="inlineStr">
        <is>
          <t>prj-e-commerce-engine-102</t>
        </is>
      </c>
      <c r="D464" s="14" t="inlineStr">
        <is>
          <t>E-Commerce Engine</t>
        </is>
      </c>
      <c r="E464" s="13" t="inlineStr">
        <is>
          <t>asia-east1</t>
        </is>
      </c>
      <c r="F464" s="14" t="inlineStr">
        <is>
          <t>BigQuery</t>
        </is>
      </c>
      <c r="G464" s="14" t="inlineStr">
        <is>
          <t>Analysis Slot Usage</t>
        </is>
      </c>
      <c r="H464" s="15" t="n">
        <v>8569.02</v>
      </c>
      <c r="I464" s="13" t="inlineStr">
        <is>
          <t>Active</t>
        </is>
      </c>
    </row>
    <row r="465">
      <c r="A465" s="13" t="inlineStr">
        <is>
          <t>TXN-1167</t>
        </is>
      </c>
      <c r="B465" s="13" t="inlineStr">
        <is>
          <t>2026-09-21</t>
        </is>
      </c>
      <c r="C465" s="13" t="inlineStr">
        <is>
          <t>prj-global-logistics-105</t>
        </is>
      </c>
      <c r="D465" s="14" t="inlineStr">
        <is>
          <t>Global Logistics</t>
        </is>
      </c>
      <c r="E465" s="13" t="inlineStr">
        <is>
          <t>us-east4</t>
        </is>
      </c>
      <c r="F465" s="14" t="inlineStr">
        <is>
          <t>BigQuery</t>
        </is>
      </c>
      <c r="G465" s="14" t="inlineStr">
        <is>
          <t>Analysis Slot Usage</t>
        </is>
      </c>
      <c r="H465" s="15" t="n">
        <v>7879.76</v>
      </c>
      <c r="I465" s="13" t="inlineStr">
        <is>
          <t>Active</t>
        </is>
      </c>
    </row>
    <row r="466">
      <c r="A466" s="13" t="inlineStr">
        <is>
          <t>TXN-1403</t>
        </is>
      </c>
      <c r="B466" s="13" t="inlineStr">
        <is>
          <t>2026-09-20</t>
        </is>
      </c>
      <c r="C466" s="13" t="inlineStr">
        <is>
          <t>prj-enterprise-saas-105</t>
        </is>
      </c>
      <c r="D466" s="14" t="inlineStr">
        <is>
          <t>Enterprise SaaS</t>
        </is>
      </c>
      <c r="E466" s="13" t="inlineStr">
        <is>
          <t>southamerica-east1</t>
        </is>
      </c>
      <c r="F466" s="14" t="inlineStr">
        <is>
          <t>Cloud SQL</t>
        </is>
      </c>
      <c r="G466" s="14" t="inlineStr">
        <is>
          <t>PostgreSQL High Availability</t>
        </is>
      </c>
      <c r="H466" s="15" t="n">
        <v>4963.18</v>
      </c>
      <c r="I466" s="13" t="inlineStr">
        <is>
          <t>Active</t>
        </is>
      </c>
    </row>
    <row r="467">
      <c r="A467" s="13" t="inlineStr">
        <is>
          <t>TXN-1242</t>
        </is>
      </c>
      <c r="B467" s="13" t="inlineStr">
        <is>
          <t>2026-09-12</t>
        </is>
      </c>
      <c r="C467" s="13" t="inlineStr">
        <is>
          <t>prj-hardware-and-iot-105</t>
        </is>
      </c>
      <c r="D467" s="14" t="inlineStr">
        <is>
          <t>Hardware &amp; IoT</t>
        </is>
      </c>
      <c r="E467" s="13" t="inlineStr">
        <is>
          <t>asia-east1</t>
        </is>
      </c>
      <c r="F467" s="14" t="inlineStr">
        <is>
          <t>Google Kubernetes Engine</t>
        </is>
      </c>
      <c r="G467" s="14" t="inlineStr">
        <is>
          <t>Autopilot Pod Compute</t>
        </is>
      </c>
      <c r="H467" s="15" t="n">
        <v>5509.74</v>
      </c>
      <c r="I467" s="13" t="inlineStr">
        <is>
          <t>Active</t>
        </is>
      </c>
    </row>
    <row r="468">
      <c r="A468" s="13" t="inlineStr">
        <is>
          <t>TXN-1471</t>
        </is>
      </c>
      <c r="B468" s="13" t="inlineStr">
        <is>
          <t>2026-09-26</t>
        </is>
      </c>
      <c r="C468" s="13" t="inlineStr">
        <is>
          <t>prj-global-logistics-103</t>
        </is>
      </c>
      <c r="D468" s="14" t="inlineStr">
        <is>
          <t>Global Logistics</t>
        </is>
      </c>
      <c r="E468" s="13" t="inlineStr">
        <is>
          <t>us-east4</t>
        </is>
      </c>
      <c r="F468" s="14" t="inlineStr">
        <is>
          <t>BigQuery</t>
        </is>
      </c>
      <c r="G468" s="14" t="inlineStr">
        <is>
          <t>Analysis Slot Usage</t>
        </is>
      </c>
      <c r="H468" s="15" t="n">
        <v>4586.03</v>
      </c>
      <c r="I468" s="13" t="inlineStr">
        <is>
          <t>Active</t>
        </is>
      </c>
    </row>
    <row r="469">
      <c r="A469" s="13" t="inlineStr">
        <is>
          <t>TXN-1188</t>
        </is>
      </c>
      <c r="B469" s="13" t="inlineStr">
        <is>
          <t>2026-09-01</t>
        </is>
      </c>
      <c r="C469" s="13" t="inlineStr">
        <is>
          <t>prj-pro-services-102</t>
        </is>
      </c>
      <c r="D469" s="14" t="inlineStr">
        <is>
          <t>Pro Services</t>
        </is>
      </c>
      <c r="E469" s="13" t="inlineStr">
        <is>
          <t>asia-east1</t>
        </is>
      </c>
      <c r="F469" s="14" t="inlineStr">
        <is>
          <t>Google Kubernetes Engine</t>
        </is>
      </c>
      <c r="G469" s="14" t="inlineStr">
        <is>
          <t>Autopilot Pod Compute</t>
        </is>
      </c>
      <c r="H469" s="15" t="n">
        <v>5443.17</v>
      </c>
      <c r="I469" s="13" t="inlineStr">
        <is>
          <t>Active</t>
        </is>
      </c>
    </row>
    <row r="470">
      <c r="A470" s="13" t="inlineStr">
        <is>
          <t>TXN-1276</t>
        </is>
      </c>
      <c r="B470" s="13" t="inlineStr">
        <is>
          <t>2026-09-11</t>
        </is>
      </c>
      <c r="C470" s="13" t="inlineStr">
        <is>
          <t>prj-global-logistics-104</t>
        </is>
      </c>
      <c r="D470" s="14" t="inlineStr">
        <is>
          <t>Global Logistics</t>
        </is>
      </c>
      <c r="E470" s="13" t="inlineStr">
        <is>
          <t>southamerica-east1</t>
        </is>
      </c>
      <c r="F470" s="14" t="inlineStr">
        <is>
          <t>Compute Engine</t>
        </is>
      </c>
      <c r="G470" s="14" t="inlineStr">
        <is>
          <t>N2 Standard 8 vCPU</t>
        </is>
      </c>
      <c r="H470" s="15" t="n">
        <v>5533.95</v>
      </c>
      <c r="I470" s="13" t="inlineStr">
        <is>
          <t>Active</t>
        </is>
      </c>
    </row>
    <row r="471">
      <c r="A471" s="13" t="inlineStr">
        <is>
          <t>TXN-1395</t>
        </is>
      </c>
      <c r="B471" s="13" t="inlineStr">
        <is>
          <t>2026-09-22</t>
        </is>
      </c>
      <c r="C471" s="13" t="inlineStr">
        <is>
          <t>prj-enterprise-saas-104</t>
        </is>
      </c>
      <c r="D471" s="14" t="inlineStr">
        <is>
          <t>Enterprise SaaS</t>
        </is>
      </c>
      <c r="E471" s="13" t="inlineStr">
        <is>
          <t>europe-west1</t>
        </is>
      </c>
      <c r="F471" s="14" t="inlineStr">
        <is>
          <t>Cloud Storage</t>
        </is>
      </c>
      <c r="G471" s="14" t="inlineStr">
        <is>
          <t>Standard Storage GB</t>
        </is>
      </c>
      <c r="H471" s="15" t="n">
        <v>2041.36</v>
      </c>
      <c r="I471" s="13" t="inlineStr">
        <is>
          <t>Active</t>
        </is>
      </c>
    </row>
    <row r="472">
      <c r="A472" s="13" t="inlineStr">
        <is>
          <t>TXN-1228</t>
        </is>
      </c>
      <c r="B472" s="13" t="inlineStr">
        <is>
          <t>2026-09-15</t>
        </is>
      </c>
      <c r="C472" s="13" t="inlineStr">
        <is>
          <t>prj-pro-services-103</t>
        </is>
      </c>
      <c r="D472" s="14" t="inlineStr">
        <is>
          <t>Pro Services</t>
        </is>
      </c>
      <c r="E472" s="13" t="inlineStr">
        <is>
          <t>us-east4</t>
        </is>
      </c>
      <c r="F472" s="14" t="inlineStr">
        <is>
          <t>Compute Engine</t>
        </is>
      </c>
      <c r="G472" s="14" t="inlineStr">
        <is>
          <t>N2 Standard 8 vCPU</t>
        </is>
      </c>
      <c r="H472" s="15" t="n">
        <v>5207.06</v>
      </c>
      <c r="I472" s="13" t="inlineStr">
        <is>
          <t>Active</t>
        </is>
      </c>
    </row>
    <row r="473">
      <c r="A473" s="13" t="inlineStr">
        <is>
          <t>TXN-1046</t>
        </is>
      </c>
      <c r="B473" s="13" t="inlineStr">
        <is>
          <t>2026-09-13</t>
        </is>
      </c>
      <c r="C473" s="13" t="inlineStr">
        <is>
          <t>prj-hardware-and-iot-104</t>
        </is>
      </c>
      <c r="D473" s="14" t="inlineStr">
        <is>
          <t>Hardware &amp; IoT</t>
        </is>
      </c>
      <c r="E473" s="13" t="inlineStr">
        <is>
          <t>us-east4</t>
        </is>
      </c>
      <c r="F473" s="14" t="inlineStr">
        <is>
          <t>BigQuery</t>
        </is>
      </c>
      <c r="G473" s="14" t="inlineStr">
        <is>
          <t>Analysis Slot Usage</t>
        </is>
      </c>
      <c r="H473" s="15" t="n">
        <v>7831.25</v>
      </c>
      <c r="I473" s="13" t="inlineStr">
        <is>
          <t>Active</t>
        </is>
      </c>
    </row>
    <row r="474">
      <c r="A474" s="13" t="inlineStr">
        <is>
          <t>TXN-1083</t>
        </is>
      </c>
      <c r="B474" s="13" t="inlineStr">
        <is>
          <t>2026-09-13</t>
        </is>
      </c>
      <c r="C474" s="13" t="inlineStr">
        <is>
          <t>prj-global-logistics-103</t>
        </is>
      </c>
      <c r="D474" s="14" t="inlineStr">
        <is>
          <t>Global Logistics</t>
        </is>
      </c>
      <c r="E474" s="13" t="inlineStr">
        <is>
          <t>southamerica-east1</t>
        </is>
      </c>
      <c r="F474" s="14" t="inlineStr">
        <is>
          <t>Google Kubernetes Engine</t>
        </is>
      </c>
      <c r="G474" s="14" t="inlineStr">
        <is>
          <t>Autopilot Pod Compute</t>
        </is>
      </c>
      <c r="H474" s="15" t="n">
        <v>7436.45</v>
      </c>
      <c r="I474" s="13" t="inlineStr">
        <is>
          <t>Active</t>
        </is>
      </c>
    </row>
    <row r="475">
      <c r="A475" s="13" t="inlineStr">
        <is>
          <t>TXN-1099</t>
        </is>
      </c>
      <c r="B475" s="13" t="inlineStr">
        <is>
          <t>2026-09-18</t>
        </is>
      </c>
      <c r="C475" s="13" t="inlineStr">
        <is>
          <t>prj-enterprise-saas-102</t>
        </is>
      </c>
      <c r="D475" s="14" t="inlineStr">
        <is>
          <t>Enterprise SaaS</t>
        </is>
      </c>
      <c r="E475" s="13" t="inlineStr">
        <is>
          <t>europe-west1</t>
        </is>
      </c>
      <c r="F475" s="14" t="inlineStr">
        <is>
          <t>Cloud Storage</t>
        </is>
      </c>
      <c r="G475" s="14" t="inlineStr">
        <is>
          <t>Standard Storage GB</t>
        </is>
      </c>
      <c r="H475" s="15" t="n">
        <v>2195.89</v>
      </c>
      <c r="I475" s="13" t="inlineStr">
        <is>
          <t>Active</t>
        </is>
      </c>
    </row>
    <row r="476">
      <c r="A476" s="13" t="inlineStr">
        <is>
          <t>TXN-1131</t>
        </is>
      </c>
      <c r="B476" s="13" t="inlineStr">
        <is>
          <t>2026-09-18</t>
        </is>
      </c>
      <c r="C476" s="13" t="inlineStr">
        <is>
          <t>prj-e-commerce-engine-105</t>
        </is>
      </c>
      <c r="D476" s="14" t="inlineStr">
        <is>
          <t>E-Commerce Engine</t>
        </is>
      </c>
      <c r="E476" s="13" t="inlineStr">
        <is>
          <t>asia-east1</t>
        </is>
      </c>
      <c r="F476" s="14" t="inlineStr">
        <is>
          <t>Cloud SQL</t>
        </is>
      </c>
      <c r="G476" s="14" t="inlineStr">
        <is>
          <t>PostgreSQL High Availability</t>
        </is>
      </c>
      <c r="H476" s="15" t="n">
        <v>3657.77</v>
      </c>
      <c r="I476" s="13" t="inlineStr">
        <is>
          <t>Active</t>
        </is>
      </c>
    </row>
    <row r="477">
      <c r="A477" s="13" t="inlineStr">
        <is>
          <t>TXN-1037</t>
        </is>
      </c>
      <c r="B477" s="13" t="inlineStr">
        <is>
          <t>2026-09-29</t>
        </is>
      </c>
      <c r="C477" s="13" t="inlineStr">
        <is>
          <t>prj-e-commerce-engine-102</t>
        </is>
      </c>
      <c r="D477" s="14" t="inlineStr">
        <is>
          <t>E-Commerce Engine</t>
        </is>
      </c>
      <c r="E477" s="13" t="inlineStr">
        <is>
          <t>southamerica-east1</t>
        </is>
      </c>
      <c r="F477" s="14" t="inlineStr">
        <is>
          <t>Cloud SQL</t>
        </is>
      </c>
      <c r="G477" s="14" t="inlineStr">
        <is>
          <t>PostgreSQL High Availability</t>
        </is>
      </c>
      <c r="H477" s="15" t="n">
        <v>5246.17</v>
      </c>
      <c r="I477" s="13" t="inlineStr">
        <is>
          <t>Active</t>
        </is>
      </c>
    </row>
    <row r="478">
      <c r="A478" s="13" t="inlineStr">
        <is>
          <t>TXN-1225</t>
        </is>
      </c>
      <c r="B478" s="13" t="inlineStr">
        <is>
          <t>2026-09-11</t>
        </is>
      </c>
      <c r="C478" s="13" t="inlineStr">
        <is>
          <t>prj-pro-services-103</t>
        </is>
      </c>
      <c r="D478" s="14" t="inlineStr">
        <is>
          <t>Pro Services</t>
        </is>
      </c>
      <c r="E478" s="13" t="inlineStr">
        <is>
          <t>southamerica-east1</t>
        </is>
      </c>
      <c r="F478" s="14" t="inlineStr">
        <is>
          <t>Google Kubernetes Engine</t>
        </is>
      </c>
      <c r="G478" s="14" t="inlineStr">
        <is>
          <t>Autopilot Pod Compute</t>
        </is>
      </c>
      <c r="H478" s="15" t="n">
        <v>7722.29</v>
      </c>
      <c r="I478" s="13" t="inlineStr">
        <is>
          <t>Active</t>
        </is>
      </c>
    </row>
    <row r="479">
      <c r="A479" s="13" t="inlineStr">
        <is>
          <t>TXN-1169</t>
        </is>
      </c>
      <c r="B479" s="13" t="inlineStr">
        <is>
          <t>2026-09-13</t>
        </is>
      </c>
      <c r="C479" s="13" t="inlineStr">
        <is>
          <t>prj-global-logistics-102</t>
        </is>
      </c>
      <c r="D479" s="14" t="inlineStr"/>
      <c r="E479" s="13" t="inlineStr">
        <is>
          <t>southamerica-east1</t>
        </is>
      </c>
      <c r="F479" s="14" t="inlineStr">
        <is>
          <t>Google Kubernetes Engine</t>
        </is>
      </c>
      <c r="G479" s="14" t="inlineStr">
        <is>
          <t>Autopilot Pod Compute</t>
        </is>
      </c>
      <c r="H479" s="15" t="n">
        <v>10184.16</v>
      </c>
      <c r="I479" s="13" t="inlineStr">
        <is>
          <t>Active</t>
        </is>
      </c>
    </row>
    <row r="480">
      <c r="A480" s="13" t="inlineStr">
        <is>
          <t>TXN-1109</t>
        </is>
      </c>
      <c r="B480" s="13" t="inlineStr">
        <is>
          <t>2026-09-07</t>
        </is>
      </c>
      <c r="C480" s="13" t="inlineStr">
        <is>
          <t>prj-pro-services-104</t>
        </is>
      </c>
      <c r="D480" s="14" t="inlineStr">
        <is>
          <t>Pro Services</t>
        </is>
      </c>
      <c r="E480" s="13" t="inlineStr">
        <is>
          <t>asia-east1</t>
        </is>
      </c>
      <c r="F480" s="14" t="inlineStr">
        <is>
          <t>BigQuery</t>
        </is>
      </c>
      <c r="G480" s="14" t="inlineStr">
        <is>
          <t>Analysis Slot Usage</t>
        </is>
      </c>
      <c r="H480" s="15" t="n">
        <v>5530.41</v>
      </c>
      <c r="I480" s="13" t="inlineStr">
        <is>
          <t>Active</t>
        </is>
      </c>
    </row>
    <row r="481">
      <c r="A481" s="13" t="inlineStr">
        <is>
          <t>TXN-1401</t>
        </is>
      </c>
      <c r="B481" s="13" t="inlineStr">
        <is>
          <t>2026-09-16</t>
        </is>
      </c>
      <c r="C481" s="13" t="inlineStr">
        <is>
          <t>prj-global-logistics-103</t>
        </is>
      </c>
      <c r="D481" s="14" t="inlineStr">
        <is>
          <t>Global Logistics</t>
        </is>
      </c>
      <c r="E481" s="13" t="inlineStr">
        <is>
          <t>us-east4</t>
        </is>
      </c>
      <c r="F481" s="14" t="inlineStr">
        <is>
          <t>Google Kubernetes Engine</t>
        </is>
      </c>
      <c r="G481" s="14" t="inlineStr">
        <is>
          <t>Autopilot Pod Compute</t>
        </is>
      </c>
      <c r="H481" s="15" t="n">
        <v>7495.07</v>
      </c>
      <c r="I481" s="13" t="inlineStr">
        <is>
          <t>Active</t>
        </is>
      </c>
    </row>
    <row r="482">
      <c r="A482" s="13" t="inlineStr">
        <is>
          <t>TXN-1355</t>
        </is>
      </c>
      <c r="B482" s="13" t="inlineStr">
        <is>
          <t>2026-09-04</t>
        </is>
      </c>
      <c r="C482" s="13" t="inlineStr">
        <is>
          <t>prj-pro-services-103</t>
        </is>
      </c>
      <c r="D482" s="14" t="inlineStr">
        <is>
          <t>Pro Services</t>
        </is>
      </c>
      <c r="E482" s="13" t="inlineStr">
        <is>
          <t>europe-west1</t>
        </is>
      </c>
      <c r="F482" s="14" t="inlineStr">
        <is>
          <t>BigQuery</t>
        </is>
      </c>
      <c r="G482" s="14" t="inlineStr">
        <is>
          <t>Analysis Slot Usage</t>
        </is>
      </c>
      <c r="H482" s="15" t="n">
        <v>8201.209999999999</v>
      </c>
      <c r="I482" s="13" t="inlineStr">
        <is>
          <t>Active</t>
        </is>
      </c>
    </row>
    <row r="483">
      <c r="A483" s="13" t="inlineStr">
        <is>
          <t>TXN-1249</t>
        </is>
      </c>
      <c r="B483" s="13" t="inlineStr">
        <is>
          <t>2026-09-16</t>
        </is>
      </c>
      <c r="C483" s="13" t="inlineStr">
        <is>
          <t>prj-pro-services-104</t>
        </is>
      </c>
      <c r="D483" s="14" t="inlineStr">
        <is>
          <t>Pro Services</t>
        </is>
      </c>
      <c r="E483" s="13" t="inlineStr">
        <is>
          <t>europe-west1</t>
        </is>
      </c>
      <c r="F483" s="14" t="inlineStr">
        <is>
          <t>Cloud Storage</t>
        </is>
      </c>
      <c r="G483" s="14" t="inlineStr">
        <is>
          <t>Standard Storage GB</t>
        </is>
      </c>
      <c r="H483" s="15" t="n">
        <v>2584.71</v>
      </c>
      <c r="I483" s="13" t="inlineStr">
        <is>
          <t>Active</t>
        </is>
      </c>
    </row>
    <row r="484">
      <c r="A484" s="13" t="inlineStr">
        <is>
          <t>TXN-1148</t>
        </is>
      </c>
      <c r="B484" s="13" t="inlineStr">
        <is>
          <t>2026-09-08</t>
        </is>
      </c>
      <c r="C484" s="13" t="inlineStr">
        <is>
          <t>prj-hardware-and-iot-101</t>
        </is>
      </c>
      <c r="D484" s="14" t="inlineStr">
        <is>
          <t>Hardware &amp; IoT</t>
        </is>
      </c>
      <c r="E484" s="13" t="inlineStr">
        <is>
          <t>asia-east1</t>
        </is>
      </c>
      <c r="F484" s="14" t="inlineStr">
        <is>
          <t>Cloud SQL</t>
        </is>
      </c>
      <c r="G484" s="14" t="inlineStr">
        <is>
          <t>PostgreSQL High Availability</t>
        </is>
      </c>
      <c r="H484" s="15" t="n">
        <v>4905.85</v>
      </c>
      <c r="I484" s="13" t="inlineStr">
        <is>
          <t>Active</t>
        </is>
      </c>
    </row>
    <row r="485">
      <c r="A485" s="13" t="inlineStr">
        <is>
          <t>TXN-1470</t>
        </is>
      </c>
      <c r="B485" s="13" t="inlineStr">
        <is>
          <t>2026-09-23</t>
        </is>
      </c>
      <c r="C485" s="13" t="inlineStr">
        <is>
          <t>prj-enterprise-saas-102</t>
        </is>
      </c>
      <c r="D485" s="14" t="inlineStr">
        <is>
          <t>Enterprise SaaS</t>
        </is>
      </c>
      <c r="E485" s="13" t="inlineStr">
        <is>
          <t>us-central1</t>
        </is>
      </c>
      <c r="F485" s="14" t="inlineStr">
        <is>
          <t>BigQuery</t>
        </is>
      </c>
      <c r="G485" s="14" t="inlineStr">
        <is>
          <t>Analysis Slot Usage</t>
        </is>
      </c>
      <c r="H485" s="15" t="n">
        <v>6090</v>
      </c>
      <c r="I485" s="13" t="inlineStr">
        <is>
          <t>Active</t>
        </is>
      </c>
    </row>
    <row r="486">
      <c r="A486" s="13" t="inlineStr">
        <is>
          <t>TXN-1114</t>
        </is>
      </c>
      <c r="B486" s="13" t="inlineStr">
        <is>
          <t>2026-09-19</t>
        </is>
      </c>
      <c r="C486" s="13" t="inlineStr">
        <is>
          <t>prj-global-logistics-103</t>
        </is>
      </c>
      <c r="D486" s="14" t="inlineStr">
        <is>
          <t>Global Logistics</t>
        </is>
      </c>
      <c r="E486" s="13" t="inlineStr">
        <is>
          <t>us-east4</t>
        </is>
      </c>
      <c r="F486" s="14" t="inlineStr">
        <is>
          <t>BigQuery</t>
        </is>
      </c>
      <c r="G486" s="14" t="inlineStr">
        <is>
          <t>Analysis Slot Usage</t>
        </is>
      </c>
      <c r="H486" s="15" t="n">
        <v>4922.84</v>
      </c>
      <c r="I486" s="13" t="inlineStr">
        <is>
          <t>Active</t>
        </is>
      </c>
    </row>
    <row r="487">
      <c r="A487" s="13" t="inlineStr">
        <is>
          <t>TXN-1309</t>
        </is>
      </c>
      <c r="B487" s="13" t="inlineStr">
        <is>
          <t>2026-09-21</t>
        </is>
      </c>
      <c r="C487" s="13" t="inlineStr">
        <is>
          <t>prj-global-logistics-101</t>
        </is>
      </c>
      <c r="D487" s="14" t="inlineStr"/>
      <c r="E487" s="13" t="inlineStr">
        <is>
          <t>asia-east1</t>
        </is>
      </c>
      <c r="F487" s="14" t="inlineStr">
        <is>
          <t>BigQuery</t>
        </is>
      </c>
      <c r="G487" s="14" t="inlineStr">
        <is>
          <t>Analysis Slot Usage</t>
        </is>
      </c>
      <c r="H487" s="15" t="n">
        <v>8761.889999999999</v>
      </c>
      <c r="I487" s="13" t="inlineStr">
        <is>
          <t>Active</t>
        </is>
      </c>
    </row>
    <row r="488">
      <c r="A488" s="13" t="inlineStr">
        <is>
          <t>TXN-1110</t>
        </is>
      </c>
      <c r="B488" s="13" t="inlineStr">
        <is>
          <t>2026-09-27</t>
        </is>
      </c>
      <c r="C488" s="13" t="inlineStr">
        <is>
          <t>prj-pro-services-104</t>
        </is>
      </c>
      <c r="D488" s="14" t="inlineStr">
        <is>
          <t>Pro Services</t>
        </is>
      </c>
      <c r="E488" s="13" t="inlineStr">
        <is>
          <t>asia-east1</t>
        </is>
      </c>
      <c r="F488" s="14" t="inlineStr">
        <is>
          <t>Compute Engine</t>
        </is>
      </c>
      <c r="G488" s="14" t="inlineStr">
        <is>
          <t>N2 Standard 8 vCPU</t>
        </is>
      </c>
      <c r="H488" s="15" t="n">
        <v>3577.53</v>
      </c>
      <c r="I488" s="13" t="inlineStr">
        <is>
          <t>Active</t>
        </is>
      </c>
    </row>
    <row r="489">
      <c r="A489" s="13" t="inlineStr">
        <is>
          <t>TXN-1258</t>
        </is>
      </c>
      <c r="B489" s="13" t="inlineStr">
        <is>
          <t>2026-09-29</t>
        </is>
      </c>
      <c r="C489" s="13" t="inlineStr">
        <is>
          <t>prj-hardware-and-iot-102</t>
        </is>
      </c>
      <c r="D489" s="14" t="inlineStr">
        <is>
          <t>Hardware &amp; IoT</t>
        </is>
      </c>
      <c r="E489" s="13" t="inlineStr">
        <is>
          <t>asia-east1</t>
        </is>
      </c>
      <c r="F489" s="14" t="inlineStr">
        <is>
          <t>Cloud Storage</t>
        </is>
      </c>
      <c r="G489" s="14" t="inlineStr">
        <is>
          <t>Standard Storage GB</t>
        </is>
      </c>
      <c r="H489" s="15" t="n">
        <v>1467.29</v>
      </c>
      <c r="I489" s="13" t="inlineStr">
        <is>
          <t>Active</t>
        </is>
      </c>
    </row>
    <row r="490">
      <c r="A490" s="13" t="inlineStr">
        <is>
          <t>TXN-1340</t>
        </is>
      </c>
      <c r="B490" s="13" t="inlineStr">
        <is>
          <t>2026-09-20</t>
        </is>
      </c>
      <c r="C490" s="13" t="inlineStr">
        <is>
          <t>prj-e-commerce-engine-101</t>
        </is>
      </c>
      <c r="D490" s="14" t="inlineStr">
        <is>
          <t>E-Commerce Engine</t>
        </is>
      </c>
      <c r="E490" s="13" t="inlineStr">
        <is>
          <t>asia-east1</t>
        </is>
      </c>
      <c r="F490" s="14" t="inlineStr">
        <is>
          <t>Google Kubernetes Engine</t>
        </is>
      </c>
      <c r="G490" s="14" t="inlineStr">
        <is>
          <t>Autopilot Pod Compute</t>
        </is>
      </c>
      <c r="H490" s="15" t="n">
        <v>9951.42</v>
      </c>
      <c r="I490" s="13" t="inlineStr">
        <is>
          <t>Active</t>
        </is>
      </c>
    </row>
    <row r="491">
      <c r="A491" s="13" t="inlineStr">
        <is>
          <t>TXN-1025</t>
        </is>
      </c>
      <c r="B491" s="13" t="inlineStr">
        <is>
          <t>2026-09-17</t>
        </is>
      </c>
      <c r="C491" s="13" t="inlineStr">
        <is>
          <t>prj-enterprise-saas-105</t>
        </is>
      </c>
      <c r="D491" s="14" t="inlineStr">
        <is>
          <t>Enterprise SaaS</t>
        </is>
      </c>
      <c r="E491" s="13" t="inlineStr">
        <is>
          <t>asia-east1</t>
        </is>
      </c>
      <c r="F491" s="14" t="inlineStr">
        <is>
          <t>Google Kubernetes Engine</t>
        </is>
      </c>
      <c r="G491" s="14" t="inlineStr">
        <is>
          <t>Autopilot Pod Compute</t>
        </is>
      </c>
      <c r="H491" s="15" t="n">
        <v>6193.47</v>
      </c>
      <c r="I491" s="13" t="inlineStr">
        <is>
          <t>Active</t>
        </is>
      </c>
    </row>
    <row r="492">
      <c r="A492" s="13" t="inlineStr">
        <is>
          <t>TXN-1240</t>
        </is>
      </c>
      <c r="B492" s="13" t="inlineStr">
        <is>
          <t>2026-09-19</t>
        </is>
      </c>
      <c r="C492" s="13" t="inlineStr">
        <is>
          <t>prj-pro-services-101</t>
        </is>
      </c>
      <c r="D492" s="14" t="inlineStr">
        <is>
          <t>Pro Services</t>
        </is>
      </c>
      <c r="E492" s="13" t="inlineStr">
        <is>
          <t>us-central1</t>
        </is>
      </c>
      <c r="F492" s="14" t="inlineStr">
        <is>
          <t>Cloud Storage</t>
        </is>
      </c>
      <c r="G492" s="14" t="inlineStr">
        <is>
          <t>Standard Storage GB</t>
        </is>
      </c>
      <c r="H492" s="15" t="n">
        <v>1438.57</v>
      </c>
      <c r="I492" s="13" t="inlineStr">
        <is>
          <t>Active</t>
        </is>
      </c>
    </row>
    <row r="493">
      <c r="A493" s="13" t="inlineStr">
        <is>
          <t>TXN-1184</t>
        </is>
      </c>
      <c r="B493" s="13" t="inlineStr">
        <is>
          <t>2026-09-10</t>
        </is>
      </c>
      <c r="C493" s="13" t="inlineStr">
        <is>
          <t>prj-hardware-and-iot-102</t>
        </is>
      </c>
      <c r="D493" s="14" t="inlineStr">
        <is>
          <t>Hardware &amp; IoT</t>
        </is>
      </c>
      <c r="E493" s="13" t="inlineStr">
        <is>
          <t>asia-east1</t>
        </is>
      </c>
      <c r="F493" s="14" t="inlineStr">
        <is>
          <t>Cloud SQL</t>
        </is>
      </c>
      <c r="G493" s="14" t="inlineStr">
        <is>
          <t>PostgreSQL High Availability</t>
        </is>
      </c>
      <c r="H493" s="15" t="n">
        <v>3354.69</v>
      </c>
      <c r="I493" s="13" t="inlineStr">
        <is>
          <t>Active</t>
        </is>
      </c>
    </row>
    <row r="494">
      <c r="A494" s="13" t="inlineStr">
        <is>
          <t>TXN-1474</t>
        </is>
      </c>
      <c r="B494" s="13" t="inlineStr">
        <is>
          <t>2026-09-14</t>
        </is>
      </c>
      <c r="C494" s="13" t="inlineStr">
        <is>
          <t>prj-enterprise-saas-103</t>
        </is>
      </c>
      <c r="D494" s="14" t="inlineStr">
        <is>
          <t>Enterprise SaaS</t>
        </is>
      </c>
      <c r="E494" s="13" t="inlineStr">
        <is>
          <t>us-central1</t>
        </is>
      </c>
      <c r="F494" s="14" t="inlineStr">
        <is>
          <t>Compute Engine</t>
        </is>
      </c>
      <c r="G494" s="14" t="inlineStr">
        <is>
          <t>N2 Standard 8 vCPU</t>
        </is>
      </c>
      <c r="H494" s="15" t="n">
        <v>5716.88</v>
      </c>
      <c r="I494" s="13" t="inlineStr">
        <is>
          <t>Active</t>
        </is>
      </c>
    </row>
    <row r="495">
      <c r="A495" s="13" t="inlineStr">
        <is>
          <t>TXN-1277</t>
        </is>
      </c>
      <c r="B495" s="13" t="inlineStr">
        <is>
          <t>2026-09-01</t>
        </is>
      </c>
      <c r="C495" s="13" t="inlineStr">
        <is>
          <t>prj-hardware-and-iot-102</t>
        </is>
      </c>
      <c r="D495" s="14" t="inlineStr">
        <is>
          <t>Hardware &amp; IoT</t>
        </is>
      </c>
      <c r="E495" s="13" t="inlineStr">
        <is>
          <t>asia-east1</t>
        </is>
      </c>
      <c r="F495" s="14" t="inlineStr">
        <is>
          <t>Cloud Storage</t>
        </is>
      </c>
      <c r="G495" s="14" t="inlineStr">
        <is>
          <t>Standard Storage GB</t>
        </is>
      </c>
      <c r="H495" s="15" t="n">
        <v>2088.5</v>
      </c>
      <c r="I495" s="13" t="inlineStr">
        <is>
          <t>Active</t>
        </is>
      </c>
    </row>
    <row r="496">
      <c r="A496" s="13" t="inlineStr">
        <is>
          <t>TXN-1466</t>
        </is>
      </c>
      <c r="B496" s="13" t="inlineStr">
        <is>
          <t>2026-09-08</t>
        </is>
      </c>
      <c r="C496" s="13" t="inlineStr">
        <is>
          <t>prj-enterprise-saas-105</t>
        </is>
      </c>
      <c r="D496" s="14" t="inlineStr">
        <is>
          <t>Enterprise SaaS</t>
        </is>
      </c>
      <c r="E496" s="13" t="inlineStr">
        <is>
          <t>asia-east1</t>
        </is>
      </c>
      <c r="F496" s="14" t="inlineStr">
        <is>
          <t>Google Kubernetes Engine</t>
        </is>
      </c>
      <c r="G496" s="14" t="inlineStr">
        <is>
          <t>Autopilot Pod Compute</t>
        </is>
      </c>
      <c r="H496" s="15" t="n">
        <v>10729.15</v>
      </c>
      <c r="I496" s="13" t="inlineStr">
        <is>
          <t>Active</t>
        </is>
      </c>
    </row>
    <row r="497">
      <c r="A497" s="13" t="inlineStr">
        <is>
          <t>TXN-1100</t>
        </is>
      </c>
      <c r="B497" s="13" t="inlineStr">
        <is>
          <t>2026-09-05</t>
        </is>
      </c>
      <c r="C497" s="13" t="inlineStr">
        <is>
          <t>prj-global-logistics-104</t>
        </is>
      </c>
      <c r="D497" s="14" t="inlineStr">
        <is>
          <t>Global Logistics</t>
        </is>
      </c>
      <c r="E497" s="13" t="inlineStr">
        <is>
          <t>us-central1</t>
        </is>
      </c>
      <c r="F497" s="14" t="inlineStr">
        <is>
          <t>Cloud SQL</t>
        </is>
      </c>
      <c r="G497" s="14" t="inlineStr">
        <is>
          <t>PostgreSQL High Availability</t>
        </is>
      </c>
      <c r="H497" s="15" t="n">
        <v>3658.08</v>
      </c>
      <c r="I497" s="13" t="inlineStr">
        <is>
          <t>Active</t>
        </is>
      </c>
    </row>
    <row r="498">
      <c r="A498" s="13" t="inlineStr">
        <is>
          <t>TXN-1434</t>
        </is>
      </c>
      <c r="B498" s="13" t="inlineStr">
        <is>
          <t>2026-09-20</t>
        </is>
      </c>
      <c r="C498" s="13" t="inlineStr">
        <is>
          <t>prj-enterprise-saas-105</t>
        </is>
      </c>
      <c r="D498" s="14" t="inlineStr">
        <is>
          <t>Enterprise SaaS</t>
        </is>
      </c>
      <c r="E498" s="13" t="inlineStr">
        <is>
          <t>us-central1</t>
        </is>
      </c>
      <c r="F498" s="14" t="inlineStr">
        <is>
          <t>Cloud Storage</t>
        </is>
      </c>
      <c r="G498" s="14" t="inlineStr">
        <is>
          <t>Standard Storage GB</t>
        </is>
      </c>
      <c r="H498" s="15" t="n">
        <v>3083.19</v>
      </c>
      <c r="I498" s="13" t="inlineStr">
        <is>
          <t>Active</t>
        </is>
      </c>
    </row>
    <row r="499">
      <c r="A499" s="13" t="inlineStr">
        <is>
          <t>TXN-1298</t>
        </is>
      </c>
      <c r="B499" s="13" t="inlineStr">
        <is>
          <t>2026-09-16</t>
        </is>
      </c>
      <c r="C499" s="13" t="inlineStr">
        <is>
          <t>prj-e-commerce-engine-105</t>
        </is>
      </c>
      <c r="D499" s="14" t="inlineStr">
        <is>
          <t>E-Commerce Engine</t>
        </is>
      </c>
      <c r="E499" s="13" t="inlineStr">
        <is>
          <t>southamerica-east1</t>
        </is>
      </c>
      <c r="F499" s="14" t="inlineStr">
        <is>
          <t>Compute Engine</t>
        </is>
      </c>
      <c r="G499" s="14" t="inlineStr">
        <is>
          <t>N2 Standard 8 vCPU</t>
        </is>
      </c>
      <c r="H499" s="15" t="n">
        <v>5800.19</v>
      </c>
      <c r="I499" s="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2026-09-15T07:54:45Z</dcterms:created>
  <dcterms:modified xmlns:dcterms="http://purl.org/dc/terms/" xmlns:xsi="http://www.w3.org/2001/XMLSchema-instance" xsi:type="dcterms:W3CDTF">2026-09-15T07:54:46Z</dcterms:modified>
</cp:coreProperties>
</file>